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保存地\外来样品数据（含报告）\"/>
    </mc:Choice>
  </mc:AlternateContent>
  <xr:revisionPtr revIDLastSave="0" documentId="13_ncr:1_{0BB0F13F-7B82-4B1B-82D1-C065FE8F915D}" xr6:coauthVersionLast="47" xr6:coauthVersionMax="47" xr10:uidLastSave="{00000000-0000-0000-0000-000000000000}"/>
  <bookViews>
    <workbookView xWindow="-110" yWindow="-110" windowWidth="25820" windowHeight="15500" xr2:uid="{FA768C6D-ACD6-47CE-AEAA-3FAC5D1C625D}"/>
  </bookViews>
  <sheets>
    <sheet name="锦江栗水河金山河浮游动物计数" sheetId="4" r:id="rId1"/>
    <sheet name="锦江栗水河金山河浮游动物密度" sheetId="1" r:id="rId2"/>
    <sheet name="锦江栗水河金山河浮游动物生物量" sheetId="2" r:id="rId3"/>
    <sheet name="锦江栗水河金山河浮游动物多样性指数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8" i="3" l="1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B38" i="2"/>
  <c r="Z38" i="2"/>
  <c r="Y38" i="2"/>
  <c r="X38" i="2"/>
  <c r="W38" i="2"/>
  <c r="V38" i="2"/>
  <c r="S38" i="2"/>
  <c r="R38" i="2"/>
  <c r="O38" i="2"/>
  <c r="K38" i="2"/>
  <c r="I38" i="2"/>
  <c r="H38" i="2"/>
  <c r="G38" i="2"/>
  <c r="F38" i="2"/>
  <c r="E38" i="2"/>
  <c r="D38" i="2"/>
  <c r="C38" i="2"/>
  <c r="AE38" i="2"/>
  <c r="AD38" i="2"/>
  <c r="AC38" i="2"/>
  <c r="AA38" i="2"/>
  <c r="U38" i="2"/>
  <c r="T38" i="2"/>
  <c r="Q38" i="2"/>
  <c r="P38" i="2"/>
  <c r="N38" i="2"/>
  <c r="M38" i="2"/>
  <c r="L38" i="2"/>
  <c r="J38" i="2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Z38" i="1"/>
  <c r="Y38" i="1"/>
  <c r="W38" i="1"/>
  <c r="V38" i="1"/>
  <c r="R38" i="1"/>
  <c r="Q38" i="1"/>
  <c r="O38" i="1"/>
  <c r="N38" i="1"/>
  <c r="I38" i="1"/>
  <c r="H38" i="1"/>
  <c r="G38" i="1"/>
  <c r="E38" i="1"/>
  <c r="D38" i="1"/>
  <c r="C38" i="1"/>
  <c r="AE38" i="1"/>
  <c r="AD38" i="1"/>
  <c r="AC38" i="1"/>
  <c r="AB38" i="1"/>
  <c r="AA38" i="1"/>
  <c r="X38" i="1"/>
  <c r="U38" i="1"/>
  <c r="T38" i="1"/>
  <c r="S38" i="1"/>
  <c r="P38" i="1"/>
  <c r="M38" i="1"/>
  <c r="L38" i="1"/>
  <c r="K38" i="1"/>
  <c r="J38" i="1"/>
  <c r="F38" i="1"/>
</calcChain>
</file>

<file path=xl/sharedStrings.xml><?xml version="1.0" encoding="utf-8"?>
<sst xmlns="http://schemas.openxmlformats.org/spreadsheetml/2006/main" count="232" uniqueCount="61">
  <si>
    <r>
      <rPr>
        <sz val="11"/>
        <color theme="1"/>
        <rFont val="宋体"/>
        <family val="3"/>
        <charset val="134"/>
      </rPr>
      <t>名称</t>
    </r>
  </si>
  <si>
    <t>无编号1</t>
    <phoneticPr fontId="5" type="noConversion"/>
  </si>
  <si>
    <t>无编号2</t>
    <phoneticPr fontId="5" type="noConversion"/>
  </si>
  <si>
    <t>LC2</t>
    <phoneticPr fontId="5" type="noConversion"/>
  </si>
  <si>
    <t>SQ</t>
    <phoneticPr fontId="5" type="noConversion"/>
  </si>
  <si>
    <t>HM</t>
    <phoneticPr fontId="5" type="noConversion"/>
  </si>
  <si>
    <t>LS1</t>
    <phoneticPr fontId="5" type="noConversion"/>
  </si>
  <si>
    <t>LS2</t>
  </si>
  <si>
    <t>LS3</t>
  </si>
  <si>
    <t>LS4</t>
  </si>
  <si>
    <t>LS5</t>
  </si>
  <si>
    <t>LS6</t>
  </si>
  <si>
    <t>JSH1</t>
    <phoneticPr fontId="5" type="noConversion"/>
  </si>
  <si>
    <t>JSH2</t>
  </si>
  <si>
    <t>JSH3</t>
  </si>
  <si>
    <t>JSH4</t>
  </si>
  <si>
    <t>JSH5</t>
  </si>
  <si>
    <t>JSH6</t>
  </si>
  <si>
    <r>
      <rPr>
        <sz val="11"/>
        <color theme="1"/>
        <rFont val="宋体"/>
        <family val="3"/>
        <charset val="134"/>
      </rPr>
      <t>浓缩体积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ml</t>
    </r>
    <r>
      <rPr>
        <sz val="11"/>
        <color theme="1"/>
        <rFont val="宋体"/>
        <family val="1"/>
        <charset val="134"/>
      </rPr>
      <t>）</t>
    </r>
    <phoneticPr fontId="2" type="noConversion"/>
  </si>
  <si>
    <t>原生动物</t>
    <phoneticPr fontId="2" type="noConversion"/>
  </si>
  <si>
    <t>褐砂壳虫</t>
    <phoneticPr fontId="2" type="noConversion"/>
  </si>
  <si>
    <t>球砂壳虫</t>
    <phoneticPr fontId="2" type="noConversion"/>
  </si>
  <si>
    <t>瓶砂壳虫</t>
    <phoneticPr fontId="5" type="noConversion"/>
  </si>
  <si>
    <t>尖顶砂壳虫</t>
    <phoneticPr fontId="5" type="noConversion"/>
  </si>
  <si>
    <t>乳头砂壳虫</t>
    <phoneticPr fontId="5" type="noConversion"/>
  </si>
  <si>
    <t>瘤棘砂壳虫</t>
    <phoneticPr fontId="5" type="noConversion"/>
  </si>
  <si>
    <t>王氏似铃壳虫</t>
    <phoneticPr fontId="2" type="noConversion"/>
  </si>
  <si>
    <t>长筒似铃壳虫</t>
    <phoneticPr fontId="2" type="noConversion"/>
  </si>
  <si>
    <t>江苏似铃壳虫</t>
    <phoneticPr fontId="2" type="noConversion"/>
  </si>
  <si>
    <t>简裸口虫</t>
    <phoneticPr fontId="5" type="noConversion"/>
  </si>
  <si>
    <t>沟裸口虫</t>
    <phoneticPr fontId="2" type="noConversion"/>
  </si>
  <si>
    <t>半圆表壳虫</t>
    <phoneticPr fontId="2" type="noConversion"/>
  </si>
  <si>
    <t>弯凸表壳虫</t>
    <phoneticPr fontId="5" type="noConversion"/>
  </si>
  <si>
    <t>盘状表壳虫</t>
    <phoneticPr fontId="5" type="noConversion"/>
  </si>
  <si>
    <t>淡水麻铃虫</t>
    <phoneticPr fontId="5" type="noConversion"/>
  </si>
  <si>
    <t>叶轮虫</t>
    <phoneticPr fontId="5" type="noConversion"/>
  </si>
  <si>
    <t>尾草履虫</t>
    <phoneticPr fontId="5" type="noConversion"/>
  </si>
  <si>
    <t>斜口三足虫</t>
    <phoneticPr fontId="5" type="noConversion"/>
  </si>
  <si>
    <t>梨形四膜虫</t>
    <phoneticPr fontId="5" type="noConversion"/>
  </si>
  <si>
    <t>轮虫类</t>
    <phoneticPr fontId="5" type="noConversion"/>
  </si>
  <si>
    <t>橘色轮虫</t>
    <phoneticPr fontId="5" type="noConversion"/>
  </si>
  <si>
    <t>壶状臂尾轮虫</t>
    <phoneticPr fontId="5" type="noConversion"/>
  </si>
  <si>
    <t>叉角聚花轮虫</t>
    <phoneticPr fontId="5" type="noConversion"/>
  </si>
  <si>
    <t>截头鬼轮虫</t>
    <phoneticPr fontId="5" type="noConversion"/>
  </si>
  <si>
    <t>针簇多肢轮虫</t>
    <phoneticPr fontId="5" type="noConversion"/>
  </si>
  <si>
    <t>腔轮虫</t>
    <phoneticPr fontId="5" type="noConversion"/>
  </si>
  <si>
    <t>尖爪腔轮虫</t>
    <phoneticPr fontId="5" type="noConversion"/>
  </si>
  <si>
    <t>须足轮虫</t>
    <phoneticPr fontId="5" type="noConversion"/>
  </si>
  <si>
    <t>晶囊轮虫</t>
    <phoneticPr fontId="2" type="noConversion"/>
  </si>
  <si>
    <t>枝角类</t>
    <phoneticPr fontId="5" type="noConversion"/>
  </si>
  <si>
    <t>钩足平直溞</t>
    <phoneticPr fontId="5" type="noConversion"/>
  </si>
  <si>
    <t>桡足类</t>
    <phoneticPr fontId="5" type="noConversion"/>
  </si>
  <si>
    <t>近邻剑水蚤</t>
    <phoneticPr fontId="5" type="noConversion"/>
  </si>
  <si>
    <t>台湾温剑水蚤</t>
    <phoneticPr fontId="5" type="noConversion"/>
  </si>
  <si>
    <t>刺剑水蚤属</t>
    <phoneticPr fontId="5" type="noConversion"/>
  </si>
  <si>
    <t>无节幼虫</t>
    <phoneticPr fontId="2" type="noConversion"/>
  </si>
  <si>
    <t>总计</t>
    <phoneticPr fontId="2" type="noConversion"/>
  </si>
  <si>
    <t>锦江栗水河金山河浮游动物计数</t>
    <phoneticPr fontId="2" type="noConversion"/>
  </si>
  <si>
    <t>锦江栗水河金山河浮游动物多样性指数</t>
    <phoneticPr fontId="2" type="noConversion"/>
  </si>
  <si>
    <t>锦江栗水河金山河浮游动物密度（ind/L）</t>
    <phoneticPr fontId="2" type="noConversion"/>
  </si>
  <si>
    <t>锦江栗水河金山河浮游动物生物量（mg/L）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</si>
</sst>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  <charset val="134"/>
    </font>
    <font>
      <sz val="11"/>
      <color theme="1"/>
      <name val="宋体"/>
      <family val="1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889-DB46-4438-ADD3-5B8857D4122C}">
  <dimension ref="A1:AE38"/>
  <sheetViews>
    <sheetView tabSelected="1" workbookViewId="0">
      <selection activeCell="E17" sqref="E17"/>
    </sheetView>
  </sheetViews>
  <sheetFormatPr defaultRowHeight="14" x14ac:dyDescent="0.3"/>
  <cols>
    <col min="1" max="1" width="16" customWidth="1"/>
    <col min="2" max="2" width="31.5" customWidth="1"/>
  </cols>
  <sheetData>
    <row r="1" spans="1:31" x14ac:dyDescent="0.3">
      <c r="A1" s="6" t="s">
        <v>57</v>
      </c>
      <c r="B1" s="6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6"/>
      <c r="B2" s="6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7" t="s">
        <v>0</v>
      </c>
      <c r="B3" s="7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2" t="s">
        <v>17</v>
      </c>
    </row>
    <row r="4" spans="1:31" x14ac:dyDescent="0.3">
      <c r="A4" s="8" t="s">
        <v>18</v>
      </c>
      <c r="B4" s="7"/>
      <c r="C4" s="2">
        <v>23</v>
      </c>
      <c r="D4" s="2">
        <v>34</v>
      </c>
      <c r="E4" s="2">
        <v>37</v>
      </c>
      <c r="F4" s="2">
        <v>54</v>
      </c>
      <c r="G4" s="2">
        <v>39</v>
      </c>
      <c r="H4" s="2">
        <v>46</v>
      </c>
      <c r="I4" s="2">
        <v>42</v>
      </c>
      <c r="J4" s="2">
        <v>39</v>
      </c>
      <c r="K4" s="2">
        <v>41</v>
      </c>
      <c r="L4" s="2">
        <v>39</v>
      </c>
      <c r="M4" s="2">
        <v>37</v>
      </c>
      <c r="N4" s="2">
        <v>42</v>
      </c>
      <c r="O4" s="2">
        <v>42</v>
      </c>
      <c r="P4" s="2">
        <v>35</v>
      </c>
      <c r="Q4" s="2">
        <v>43</v>
      </c>
      <c r="R4" s="2">
        <v>31</v>
      </c>
      <c r="S4" s="2">
        <v>45</v>
      </c>
      <c r="T4" s="2">
        <v>39</v>
      </c>
      <c r="U4" s="2">
        <v>45</v>
      </c>
      <c r="V4" s="2">
        <v>29</v>
      </c>
      <c r="W4" s="2">
        <v>46</v>
      </c>
      <c r="X4" s="2">
        <v>39</v>
      </c>
      <c r="Y4" s="2">
        <v>42</v>
      </c>
      <c r="Z4" s="2">
        <v>37</v>
      </c>
      <c r="AA4" s="2">
        <v>36</v>
      </c>
      <c r="AB4" s="2">
        <v>36</v>
      </c>
      <c r="AC4" s="2">
        <v>42</v>
      </c>
      <c r="AD4" s="2">
        <v>42</v>
      </c>
      <c r="AE4" s="2">
        <v>38</v>
      </c>
    </row>
    <row r="5" spans="1:31" x14ac:dyDescent="0.3">
      <c r="A5" s="5" t="s">
        <v>19</v>
      </c>
      <c r="B5" s="3" t="s">
        <v>20</v>
      </c>
      <c r="C5" s="2"/>
      <c r="D5" s="2">
        <v>2</v>
      </c>
      <c r="E5" s="2">
        <v>5</v>
      </c>
      <c r="F5" s="2">
        <v>1</v>
      </c>
      <c r="G5" s="2">
        <v>2</v>
      </c>
      <c r="H5" s="2">
        <v>5</v>
      </c>
      <c r="I5" s="2">
        <v>1</v>
      </c>
      <c r="J5" s="2">
        <v>4</v>
      </c>
      <c r="K5" s="2">
        <v>2</v>
      </c>
      <c r="L5" s="2">
        <v>5</v>
      </c>
      <c r="M5" s="2">
        <v>2</v>
      </c>
      <c r="N5" s="2">
        <v>4</v>
      </c>
      <c r="O5" s="2">
        <v>2</v>
      </c>
      <c r="P5" s="2">
        <v>5</v>
      </c>
      <c r="Q5" s="2">
        <v>4</v>
      </c>
      <c r="R5" s="2">
        <v>11</v>
      </c>
      <c r="S5" s="2">
        <v>9</v>
      </c>
      <c r="T5" s="2">
        <v>6</v>
      </c>
      <c r="U5" s="2">
        <v>2</v>
      </c>
      <c r="V5" s="2">
        <v>1</v>
      </c>
      <c r="W5" s="2">
        <v>5</v>
      </c>
      <c r="X5" s="2">
        <v>5</v>
      </c>
      <c r="Y5" s="2">
        <v>2</v>
      </c>
      <c r="Z5" s="2">
        <v>6</v>
      </c>
      <c r="AA5" s="2"/>
      <c r="AB5" s="2">
        <v>3</v>
      </c>
      <c r="AC5" s="2">
        <v>1</v>
      </c>
      <c r="AD5" s="2">
        <v>1</v>
      </c>
      <c r="AE5" s="2">
        <v>1</v>
      </c>
    </row>
    <row r="6" spans="1:31" x14ac:dyDescent="0.3">
      <c r="A6" s="5"/>
      <c r="B6" s="3" t="s">
        <v>21</v>
      </c>
      <c r="C6" s="2">
        <v>2</v>
      </c>
      <c r="D6" s="2">
        <v>3</v>
      </c>
      <c r="E6" s="2">
        <v>2</v>
      </c>
      <c r="F6" s="2">
        <v>2</v>
      </c>
      <c r="G6" s="2">
        <v>1</v>
      </c>
      <c r="H6" s="2">
        <v>4</v>
      </c>
      <c r="I6" s="2">
        <v>1</v>
      </c>
      <c r="J6" s="2">
        <v>1</v>
      </c>
      <c r="K6" s="2">
        <v>2</v>
      </c>
      <c r="L6" s="2">
        <v>2</v>
      </c>
      <c r="M6" s="2">
        <v>2</v>
      </c>
      <c r="N6" s="2">
        <v>3</v>
      </c>
      <c r="O6" s="2">
        <v>4</v>
      </c>
      <c r="P6" s="2">
        <v>1</v>
      </c>
      <c r="Q6" s="2">
        <v>3</v>
      </c>
      <c r="R6" s="2">
        <v>13</v>
      </c>
      <c r="S6" s="2">
        <v>12</v>
      </c>
      <c r="T6" s="2">
        <v>2</v>
      </c>
      <c r="U6" s="2">
        <v>3</v>
      </c>
      <c r="V6" s="2">
        <v>1</v>
      </c>
      <c r="W6" s="2">
        <v>2</v>
      </c>
      <c r="X6" s="2">
        <v>3</v>
      </c>
      <c r="Y6" s="2">
        <v>3</v>
      </c>
      <c r="Z6" s="2">
        <v>2</v>
      </c>
      <c r="AA6" s="2">
        <v>2</v>
      </c>
      <c r="AB6" s="2">
        <v>1</v>
      </c>
      <c r="AC6" s="2">
        <v>3</v>
      </c>
      <c r="AD6" s="2">
        <v>1</v>
      </c>
      <c r="AE6" s="2">
        <v>3</v>
      </c>
    </row>
    <row r="7" spans="1:31" x14ac:dyDescent="0.3">
      <c r="A7" s="5"/>
      <c r="B7" s="3" t="s">
        <v>22</v>
      </c>
      <c r="C7" s="2"/>
      <c r="D7" s="2">
        <v>1</v>
      </c>
      <c r="E7" s="2"/>
      <c r="F7" s="2"/>
      <c r="G7" s="2"/>
      <c r="H7" s="2"/>
      <c r="I7" s="2"/>
      <c r="J7" s="2">
        <v>1</v>
      </c>
      <c r="K7" s="2"/>
      <c r="L7" s="2"/>
      <c r="M7" s="2">
        <v>1</v>
      </c>
      <c r="N7" s="2"/>
      <c r="O7" s="2">
        <v>1</v>
      </c>
      <c r="P7" s="2"/>
      <c r="Q7" s="2"/>
      <c r="R7" s="2"/>
      <c r="S7" s="2">
        <v>2</v>
      </c>
      <c r="T7" s="2"/>
      <c r="U7" s="2"/>
      <c r="V7" s="2"/>
      <c r="W7" s="2">
        <v>2</v>
      </c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5"/>
      <c r="B8" s="3" t="s">
        <v>23</v>
      </c>
      <c r="C8" s="2">
        <v>2</v>
      </c>
      <c r="D8" s="2"/>
      <c r="E8" s="2">
        <v>1</v>
      </c>
      <c r="F8" s="2"/>
      <c r="G8" s="2"/>
      <c r="H8" s="2">
        <v>2</v>
      </c>
      <c r="I8" s="2"/>
      <c r="J8" s="2"/>
      <c r="K8" s="2"/>
      <c r="L8" s="2">
        <v>2</v>
      </c>
      <c r="M8" s="2">
        <v>1</v>
      </c>
      <c r="N8" s="2"/>
      <c r="O8" s="2"/>
      <c r="P8" s="2"/>
      <c r="Q8" s="2">
        <v>1</v>
      </c>
      <c r="R8" s="2"/>
      <c r="S8" s="2">
        <v>1</v>
      </c>
      <c r="T8" s="2"/>
      <c r="U8" s="2">
        <v>1</v>
      </c>
      <c r="V8" s="2"/>
      <c r="W8" s="2">
        <v>1</v>
      </c>
      <c r="X8" s="2">
        <v>2</v>
      </c>
      <c r="Y8" s="2"/>
      <c r="Z8" s="2">
        <v>1</v>
      </c>
      <c r="AA8" s="2"/>
      <c r="AB8" s="2"/>
      <c r="AC8" s="2">
        <v>1</v>
      </c>
      <c r="AD8" s="2"/>
      <c r="AE8" s="2"/>
    </row>
    <row r="9" spans="1:31" x14ac:dyDescent="0.3">
      <c r="A9" s="5"/>
      <c r="B9" s="3" t="s">
        <v>24</v>
      </c>
      <c r="C9" s="2"/>
      <c r="D9" s="2"/>
      <c r="E9" s="2"/>
      <c r="F9" s="2"/>
      <c r="G9" s="2"/>
      <c r="H9" s="2">
        <v>1</v>
      </c>
      <c r="I9" s="2">
        <v>1</v>
      </c>
      <c r="J9" s="2"/>
      <c r="K9" s="2"/>
      <c r="L9" s="2"/>
      <c r="M9" s="2"/>
      <c r="N9" s="2"/>
      <c r="O9" s="2"/>
      <c r="P9" s="2"/>
      <c r="Q9" s="2">
        <v>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5"/>
      <c r="B10" s="3" t="s">
        <v>25</v>
      </c>
      <c r="C10" s="2"/>
      <c r="D10" s="2"/>
      <c r="E10" s="2"/>
      <c r="F10" s="2"/>
      <c r="G10" s="2"/>
      <c r="H10" s="2"/>
      <c r="I10" s="2"/>
      <c r="J10" s="2"/>
      <c r="K10" s="2">
        <v>1</v>
      </c>
      <c r="L10" s="2"/>
      <c r="M10" s="2"/>
      <c r="N10" s="2"/>
      <c r="O10" s="2"/>
      <c r="P10" s="2">
        <v>1</v>
      </c>
      <c r="Q10" s="2"/>
      <c r="R10" s="2">
        <v>3</v>
      </c>
      <c r="S10" s="2"/>
      <c r="T10" s="2"/>
      <c r="U10" s="2"/>
      <c r="V10" s="2"/>
      <c r="W10" s="2"/>
      <c r="X10" s="2"/>
      <c r="Y10" s="2">
        <v>1</v>
      </c>
      <c r="Z10" s="2"/>
      <c r="AA10" s="2"/>
      <c r="AB10" s="2"/>
      <c r="AC10" s="2"/>
      <c r="AD10" s="2"/>
      <c r="AE10" s="2">
        <v>2</v>
      </c>
    </row>
    <row r="11" spans="1:31" x14ac:dyDescent="0.3">
      <c r="A11" s="5"/>
      <c r="B11" s="3" t="s">
        <v>26</v>
      </c>
      <c r="C11" s="2"/>
      <c r="D11" s="2"/>
      <c r="E11" s="2"/>
      <c r="F11" s="2"/>
      <c r="G11" s="2"/>
      <c r="H11" s="2">
        <v>1</v>
      </c>
      <c r="I11" s="2"/>
      <c r="J11" s="2"/>
      <c r="K11" s="2"/>
      <c r="L11" s="2">
        <v>2</v>
      </c>
      <c r="M11" s="2">
        <v>2</v>
      </c>
      <c r="N11" s="2">
        <v>2</v>
      </c>
      <c r="O11" s="2"/>
      <c r="P11" s="2"/>
      <c r="Q11" s="2">
        <v>1</v>
      </c>
      <c r="R11" s="2">
        <v>2</v>
      </c>
      <c r="S11" s="2">
        <v>2</v>
      </c>
      <c r="T11" s="2">
        <v>3</v>
      </c>
      <c r="U11" s="2"/>
      <c r="V11" s="2"/>
      <c r="W11" s="2"/>
      <c r="X11" s="2"/>
      <c r="Y11" s="2">
        <v>2</v>
      </c>
      <c r="Z11" s="2">
        <v>1</v>
      </c>
      <c r="AA11" s="2">
        <v>1</v>
      </c>
      <c r="AB11" s="2">
        <v>1</v>
      </c>
      <c r="AC11" s="2">
        <v>1</v>
      </c>
      <c r="AD11" s="2"/>
      <c r="AE11" s="2">
        <v>3</v>
      </c>
    </row>
    <row r="12" spans="1:31" x14ac:dyDescent="0.3">
      <c r="A12" s="5"/>
      <c r="B12" s="3" t="s">
        <v>27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>
        <v>1</v>
      </c>
      <c r="Y12" s="2"/>
      <c r="Z12" s="2"/>
      <c r="AA12" s="2"/>
      <c r="AB12" s="2"/>
      <c r="AC12" s="2"/>
      <c r="AD12" s="2"/>
      <c r="AE12" s="2"/>
    </row>
    <row r="13" spans="1:31" x14ac:dyDescent="0.3">
      <c r="A13" s="5"/>
      <c r="B13" s="3" t="s">
        <v>28</v>
      </c>
      <c r="C13" s="2">
        <v>1</v>
      </c>
      <c r="D13" s="2"/>
      <c r="E13" s="2">
        <v>2</v>
      </c>
      <c r="F13" s="2">
        <v>1</v>
      </c>
      <c r="G13" s="2">
        <v>2</v>
      </c>
      <c r="H13" s="2">
        <v>2</v>
      </c>
      <c r="I13" s="2">
        <v>1</v>
      </c>
      <c r="J13" s="2">
        <v>1</v>
      </c>
      <c r="K13" s="2">
        <v>4</v>
      </c>
      <c r="L13" s="2">
        <v>4</v>
      </c>
      <c r="M13" s="2">
        <v>1</v>
      </c>
      <c r="N13" s="2">
        <v>3</v>
      </c>
      <c r="O13" s="2"/>
      <c r="P13" s="2">
        <v>1</v>
      </c>
      <c r="Q13" s="2"/>
      <c r="R13" s="2">
        <v>2</v>
      </c>
      <c r="S13" s="2">
        <v>2</v>
      </c>
      <c r="T13" s="2"/>
      <c r="U13" s="2"/>
      <c r="V13" s="2">
        <v>2</v>
      </c>
      <c r="W13" s="2">
        <v>1</v>
      </c>
      <c r="X13" s="2">
        <v>1</v>
      </c>
      <c r="Y13" s="2">
        <v>1</v>
      </c>
      <c r="Z13" s="2">
        <v>1</v>
      </c>
      <c r="AA13" s="2"/>
      <c r="AB13" s="2"/>
      <c r="AC13" s="2"/>
      <c r="AD13" s="2"/>
      <c r="AE13" s="2"/>
    </row>
    <row r="14" spans="1:31" x14ac:dyDescent="0.3">
      <c r="A14" s="5"/>
      <c r="B14" s="3" t="s">
        <v>29</v>
      </c>
      <c r="C14" s="2"/>
      <c r="D14" s="2"/>
      <c r="E14" s="2"/>
      <c r="F14" s="2"/>
      <c r="G14" s="2"/>
      <c r="H14" s="2"/>
      <c r="I14" s="2"/>
      <c r="J14" s="2"/>
      <c r="K14" s="2"/>
      <c r="L14" s="2">
        <v>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5"/>
      <c r="B15" s="3" t="s">
        <v>30</v>
      </c>
      <c r="C15" s="2"/>
      <c r="D15" s="2"/>
      <c r="E15" s="2">
        <v>1</v>
      </c>
      <c r="F15" s="2"/>
      <c r="G15" s="2"/>
      <c r="H15" s="2"/>
      <c r="I15" s="2"/>
      <c r="J15" s="2"/>
      <c r="K15" s="2">
        <v>2</v>
      </c>
      <c r="L15" s="2">
        <v>2</v>
      </c>
      <c r="M15" s="2"/>
      <c r="N15" s="2">
        <v>1</v>
      </c>
      <c r="O15" s="2">
        <v>1</v>
      </c>
      <c r="P15" s="2"/>
      <c r="Q15" s="2">
        <v>1</v>
      </c>
      <c r="R15" s="2">
        <v>1</v>
      </c>
      <c r="S15" s="2">
        <v>2</v>
      </c>
      <c r="T15" s="2"/>
      <c r="U15" s="2">
        <v>1</v>
      </c>
      <c r="V15" s="2"/>
      <c r="W15" s="2"/>
      <c r="X15" s="2"/>
      <c r="Y15" s="2"/>
      <c r="Z15" s="2">
        <v>1</v>
      </c>
      <c r="AA15" s="2">
        <v>1</v>
      </c>
      <c r="AB15" s="2"/>
      <c r="AC15" s="2">
        <v>1</v>
      </c>
      <c r="AD15" s="2"/>
      <c r="AE15" s="2">
        <v>2</v>
      </c>
    </row>
    <row r="16" spans="1:31" x14ac:dyDescent="0.3">
      <c r="A16" s="5"/>
      <c r="B16" s="3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>
        <v>1</v>
      </c>
      <c r="Z16" s="2"/>
      <c r="AA16" s="2"/>
      <c r="AB16" s="2"/>
      <c r="AC16" s="2"/>
      <c r="AD16" s="2"/>
      <c r="AE16" s="2"/>
    </row>
    <row r="17" spans="1:31" x14ac:dyDescent="0.3">
      <c r="A17" s="5"/>
      <c r="B17" s="3" t="s">
        <v>32</v>
      </c>
      <c r="C17" s="2"/>
      <c r="D17" s="2"/>
      <c r="E17" s="2"/>
      <c r="F17" s="2">
        <v>1</v>
      </c>
      <c r="G17" s="2">
        <v>1</v>
      </c>
      <c r="H17" s="2"/>
      <c r="I17" s="2">
        <v>2</v>
      </c>
      <c r="J17" s="2"/>
      <c r="K17" s="2">
        <v>1</v>
      </c>
      <c r="L17" s="2"/>
      <c r="M17" s="2"/>
      <c r="N17" s="2"/>
      <c r="O17" s="2"/>
      <c r="P17" s="2"/>
      <c r="Q17" s="2"/>
      <c r="R17" s="2">
        <v>2</v>
      </c>
      <c r="S17" s="2">
        <v>3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5"/>
      <c r="B18" s="3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>
        <v>1</v>
      </c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3">
      <c r="A19" s="5"/>
      <c r="B19" s="3" t="s">
        <v>34</v>
      </c>
      <c r="C19" s="2"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>
        <v>1</v>
      </c>
      <c r="O19" s="2"/>
      <c r="P19" s="2"/>
      <c r="Q19" s="2"/>
      <c r="R19" s="2"/>
      <c r="S19" s="2"/>
      <c r="T19" s="2">
        <v>1</v>
      </c>
      <c r="U19" s="2"/>
      <c r="V19" s="2">
        <v>1</v>
      </c>
      <c r="W19" s="2"/>
      <c r="X19" s="2"/>
      <c r="Y19" s="2"/>
      <c r="Z19" s="2"/>
      <c r="AA19" s="2">
        <v>1</v>
      </c>
      <c r="AB19" s="2"/>
      <c r="AC19" s="2"/>
      <c r="AD19" s="2">
        <v>1</v>
      </c>
      <c r="AE19" s="2"/>
    </row>
    <row r="20" spans="1:31" x14ac:dyDescent="0.3">
      <c r="A20" s="5"/>
      <c r="B20" s="3" t="s">
        <v>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1</v>
      </c>
      <c r="AA20" s="2"/>
      <c r="AB20" s="2"/>
      <c r="AC20" s="2"/>
      <c r="AD20" s="2"/>
      <c r="AE20" s="2"/>
    </row>
    <row r="21" spans="1:31" x14ac:dyDescent="0.3">
      <c r="A21" s="5"/>
      <c r="B21" s="3" t="s">
        <v>36</v>
      </c>
      <c r="C21" s="2"/>
      <c r="D21" s="2"/>
      <c r="E21" s="2"/>
      <c r="F21" s="2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>
        <v>1</v>
      </c>
      <c r="V21" s="2"/>
      <c r="W21" s="2"/>
      <c r="X21" s="2"/>
      <c r="Y21" s="2"/>
      <c r="Z21" s="2"/>
      <c r="AA21" s="2"/>
      <c r="AB21" s="2">
        <v>1</v>
      </c>
      <c r="AC21" s="2"/>
      <c r="AD21" s="2"/>
      <c r="AE21" s="2"/>
    </row>
    <row r="22" spans="1:31" x14ac:dyDescent="0.3">
      <c r="A22" s="5"/>
      <c r="B22" s="3" t="s">
        <v>37</v>
      </c>
      <c r="C22" s="2"/>
      <c r="D22" s="2"/>
      <c r="E22" s="2"/>
      <c r="F22" s="2"/>
      <c r="G22" s="2"/>
      <c r="H22" s="2"/>
      <c r="I22" s="2"/>
      <c r="J22" s="2">
        <v>2</v>
      </c>
      <c r="K22" s="2"/>
      <c r="L22" s="2"/>
      <c r="M22" s="2"/>
      <c r="N22" s="2">
        <v>1</v>
      </c>
      <c r="O22" s="2"/>
      <c r="P22" s="2"/>
      <c r="Q22" s="2">
        <v>1</v>
      </c>
      <c r="R22" s="2">
        <v>1</v>
      </c>
      <c r="S22" s="2"/>
      <c r="T22" s="2"/>
      <c r="U22" s="2"/>
      <c r="V22" s="2"/>
      <c r="W22" s="2"/>
      <c r="X22" s="2">
        <v>2</v>
      </c>
      <c r="Y22" s="2"/>
      <c r="Z22" s="2"/>
      <c r="AA22" s="2"/>
      <c r="AB22" s="2"/>
      <c r="AC22" s="2"/>
      <c r="AD22" s="2"/>
      <c r="AE22" s="2"/>
    </row>
    <row r="23" spans="1:31" x14ac:dyDescent="0.3">
      <c r="A23" s="5"/>
      <c r="B23" s="3" t="s">
        <v>38</v>
      </c>
      <c r="C23" s="2"/>
      <c r="D23" s="2"/>
      <c r="E23" s="2"/>
      <c r="F23" s="2">
        <v>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3">
      <c r="A24" s="5" t="s">
        <v>39</v>
      </c>
      <c r="B24" s="3" t="s">
        <v>40</v>
      </c>
      <c r="C24" s="2"/>
      <c r="D24" s="2"/>
      <c r="E24" s="2"/>
      <c r="F24" s="2"/>
      <c r="G24" s="2"/>
      <c r="H24" s="2"/>
      <c r="I24" s="2"/>
      <c r="J24" s="2"/>
      <c r="K24" s="2">
        <v>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3">
      <c r="A25" s="5"/>
      <c r="B25" s="3" t="s">
        <v>41</v>
      </c>
      <c r="C25" s="2"/>
      <c r="D25" s="2"/>
      <c r="E25" s="2"/>
      <c r="F25" s="2"/>
      <c r="G25" s="2"/>
      <c r="H25" s="2"/>
      <c r="I25" s="2">
        <v>1</v>
      </c>
      <c r="J25" s="2">
        <v>2</v>
      </c>
      <c r="K25" s="2"/>
      <c r="L25" s="2"/>
      <c r="M25" s="2"/>
      <c r="N25" s="2"/>
      <c r="O25" s="2"/>
      <c r="P25" s="2"/>
      <c r="Q25" s="2">
        <v>1</v>
      </c>
      <c r="R25" s="2"/>
      <c r="S25" s="2"/>
      <c r="T25" s="2"/>
      <c r="U25" s="2"/>
      <c r="V25" s="2">
        <v>1</v>
      </c>
      <c r="W25" s="2"/>
      <c r="X25" s="2"/>
      <c r="Y25" s="2"/>
      <c r="Z25" s="2"/>
      <c r="AA25" s="2">
        <v>1</v>
      </c>
      <c r="AB25" s="2"/>
      <c r="AC25" s="2">
        <v>1</v>
      </c>
      <c r="AD25" s="2"/>
      <c r="AE25" s="2">
        <v>1</v>
      </c>
    </row>
    <row r="26" spans="1:31" x14ac:dyDescent="0.3">
      <c r="A26" s="5"/>
      <c r="B26" s="3" t="s">
        <v>42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>
        <v>1</v>
      </c>
      <c r="AE26" s="2"/>
    </row>
    <row r="27" spans="1:31" x14ac:dyDescent="0.3">
      <c r="A27" s="5"/>
      <c r="B27" s="3" t="s">
        <v>43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>
        <v>1</v>
      </c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3">
      <c r="A28" s="5"/>
      <c r="B28" s="3" t="s">
        <v>44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</row>
    <row r="29" spans="1:31" x14ac:dyDescent="0.3">
      <c r="A29" s="5"/>
      <c r="B29" s="3" t="s">
        <v>45</v>
      </c>
      <c r="C29" s="2"/>
      <c r="D29" s="2"/>
      <c r="E29" s="2"/>
      <c r="F29" s="2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v>1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3">
      <c r="A30" s="5"/>
      <c r="B30" s="3" t="s">
        <v>46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>
        <v>1</v>
      </c>
      <c r="AE30" s="2"/>
    </row>
    <row r="31" spans="1:31" x14ac:dyDescent="0.3">
      <c r="A31" s="5"/>
      <c r="B31" s="3" t="s">
        <v>47</v>
      </c>
      <c r="C31" s="2"/>
      <c r="D31" s="2"/>
      <c r="E31" s="2">
        <v>1</v>
      </c>
      <c r="F31" s="2"/>
      <c r="G31" s="2">
        <v>1</v>
      </c>
      <c r="H31" s="2"/>
      <c r="I31" s="2"/>
      <c r="J31" s="2"/>
      <c r="K31" s="2"/>
      <c r="L31" s="2">
        <v>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3">
      <c r="A32" s="5"/>
      <c r="B32" s="3" t="s">
        <v>48</v>
      </c>
      <c r="C32" s="2"/>
      <c r="D32" s="2">
        <v>2</v>
      </c>
      <c r="E32" s="2"/>
      <c r="F32" s="2">
        <v>1</v>
      </c>
      <c r="G32" s="2"/>
      <c r="H32" s="2">
        <v>1</v>
      </c>
      <c r="I32" s="2"/>
      <c r="J32" s="2"/>
      <c r="K32" s="2">
        <v>1</v>
      </c>
      <c r="L32" s="2"/>
      <c r="M32" s="2">
        <v>1</v>
      </c>
      <c r="N32" s="2"/>
      <c r="O32" s="2"/>
      <c r="P32" s="2"/>
      <c r="Q32" s="2"/>
      <c r="R32" s="2"/>
      <c r="S32" s="2"/>
      <c r="T32" s="2"/>
      <c r="U32" s="2"/>
      <c r="V32" s="2">
        <v>1</v>
      </c>
      <c r="W32" s="2"/>
      <c r="X32" s="2"/>
      <c r="Y32" s="2">
        <v>2</v>
      </c>
      <c r="Z32" s="2"/>
      <c r="AA32" s="2"/>
      <c r="AB32" s="2">
        <v>1</v>
      </c>
      <c r="AC32" s="2">
        <v>1</v>
      </c>
      <c r="AD32" s="2">
        <v>2</v>
      </c>
      <c r="AE32" s="2">
        <v>1</v>
      </c>
    </row>
    <row r="33" spans="1:31" x14ac:dyDescent="0.3">
      <c r="A33" s="4" t="s">
        <v>49</v>
      </c>
      <c r="B33" s="3" t="s">
        <v>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>
        <v>1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3">
      <c r="A34" s="9" t="s">
        <v>51</v>
      </c>
      <c r="B34" s="3" t="s">
        <v>52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>
        <v>1</v>
      </c>
      <c r="Q34" s="2"/>
      <c r="R34" s="2"/>
      <c r="S34" s="2"/>
      <c r="T34" s="2"/>
      <c r="U34" s="2"/>
      <c r="V34" s="2"/>
      <c r="W34" s="2"/>
      <c r="X34" s="2"/>
      <c r="Y34" s="2">
        <v>2</v>
      </c>
      <c r="Z34" s="2">
        <v>1</v>
      </c>
      <c r="AA34" s="2"/>
      <c r="AB34" s="2"/>
      <c r="AC34" s="2">
        <v>2</v>
      </c>
      <c r="AD34" s="2"/>
      <c r="AE34" s="2"/>
    </row>
    <row r="35" spans="1:31" x14ac:dyDescent="0.3">
      <c r="A35" s="10"/>
      <c r="B35" s="3" t="s">
        <v>53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>
        <v>1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3">
      <c r="A36" s="10"/>
      <c r="B36" s="3" t="s">
        <v>54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>
        <v>1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3">
      <c r="A37" s="11"/>
      <c r="B37" s="3" t="s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>
        <v>1</v>
      </c>
      <c r="W37" s="2"/>
      <c r="X37" s="2"/>
      <c r="Y37" s="2">
        <v>1</v>
      </c>
      <c r="Z37" s="2"/>
      <c r="AA37" s="2">
        <v>1</v>
      </c>
      <c r="AB37" s="2">
        <v>1</v>
      </c>
      <c r="AC37" s="2">
        <v>2</v>
      </c>
      <c r="AD37" s="2">
        <v>3</v>
      </c>
      <c r="AE37" s="2">
        <v>1</v>
      </c>
    </row>
    <row r="38" spans="1:31" x14ac:dyDescent="0.3">
      <c r="A38" s="5" t="s">
        <v>56</v>
      </c>
      <c r="B38" s="5"/>
      <c r="C38" s="2">
        <f t="shared" ref="C38:AE38" si="0">SUM(C5:C37)</f>
        <v>7</v>
      </c>
      <c r="D38" s="2">
        <f t="shared" si="0"/>
        <v>8</v>
      </c>
      <c r="E38" s="2">
        <f t="shared" si="0"/>
        <v>12</v>
      </c>
      <c r="F38" s="2">
        <f t="shared" si="0"/>
        <v>9</v>
      </c>
      <c r="G38" s="2">
        <f t="shared" si="0"/>
        <v>7</v>
      </c>
      <c r="H38" s="2">
        <f t="shared" si="0"/>
        <v>16</v>
      </c>
      <c r="I38" s="2">
        <f t="shared" si="0"/>
        <v>7</v>
      </c>
      <c r="J38" s="2">
        <f t="shared" si="0"/>
        <v>11</v>
      </c>
      <c r="K38" s="2">
        <f t="shared" si="0"/>
        <v>14</v>
      </c>
      <c r="L38" s="2">
        <f t="shared" si="0"/>
        <v>20</v>
      </c>
      <c r="M38" s="2">
        <f t="shared" si="0"/>
        <v>10</v>
      </c>
      <c r="N38" s="2">
        <f t="shared" si="0"/>
        <v>15</v>
      </c>
      <c r="O38" s="2">
        <f t="shared" si="0"/>
        <v>8</v>
      </c>
      <c r="P38" s="2">
        <f t="shared" si="0"/>
        <v>9</v>
      </c>
      <c r="Q38" s="2">
        <f t="shared" si="0"/>
        <v>13</v>
      </c>
      <c r="R38" s="2">
        <f t="shared" si="0"/>
        <v>37</v>
      </c>
      <c r="S38" s="2">
        <f t="shared" si="0"/>
        <v>35</v>
      </c>
      <c r="T38" s="2">
        <f t="shared" si="0"/>
        <v>12</v>
      </c>
      <c r="U38" s="2">
        <f t="shared" si="0"/>
        <v>10</v>
      </c>
      <c r="V38" s="2">
        <f t="shared" si="0"/>
        <v>8</v>
      </c>
      <c r="W38" s="2">
        <f t="shared" si="0"/>
        <v>11</v>
      </c>
      <c r="X38" s="2">
        <f t="shared" si="0"/>
        <v>14</v>
      </c>
      <c r="Y38" s="2">
        <f t="shared" si="0"/>
        <v>15</v>
      </c>
      <c r="Z38" s="2">
        <f t="shared" si="0"/>
        <v>14</v>
      </c>
      <c r="AA38" s="2">
        <f t="shared" si="0"/>
        <v>7</v>
      </c>
      <c r="AB38" s="2">
        <f t="shared" si="0"/>
        <v>8</v>
      </c>
      <c r="AC38" s="2">
        <f t="shared" si="0"/>
        <v>14</v>
      </c>
      <c r="AD38" s="2">
        <f t="shared" si="0"/>
        <v>10</v>
      </c>
      <c r="AE38" s="2">
        <f t="shared" si="0"/>
        <v>14</v>
      </c>
    </row>
  </sheetData>
  <mergeCells count="7">
    <mergeCell ref="A38:B38"/>
    <mergeCell ref="A1:B2"/>
    <mergeCell ref="A3:B3"/>
    <mergeCell ref="A4:B4"/>
    <mergeCell ref="A5:A23"/>
    <mergeCell ref="A24:A32"/>
    <mergeCell ref="A34:A3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829F-83BE-428F-902D-0BCAA96DC2A1}">
  <dimension ref="A1:AE38"/>
  <sheetViews>
    <sheetView workbookViewId="0">
      <selection sqref="A1:B2"/>
    </sheetView>
  </sheetViews>
  <sheetFormatPr defaultRowHeight="14" x14ac:dyDescent="0.3"/>
  <cols>
    <col min="1" max="1" width="14" customWidth="1"/>
    <col min="2" max="2" width="24.08203125" customWidth="1"/>
  </cols>
  <sheetData>
    <row r="1" spans="1:31" x14ac:dyDescent="0.3">
      <c r="A1" s="6" t="s">
        <v>59</v>
      </c>
      <c r="B1" s="6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6"/>
      <c r="B2" s="6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7" t="s">
        <v>0</v>
      </c>
      <c r="B3" s="7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2" t="s">
        <v>17</v>
      </c>
    </row>
    <row r="4" spans="1:31" x14ac:dyDescent="0.3">
      <c r="A4" s="8" t="s">
        <v>18</v>
      </c>
      <c r="B4" s="7"/>
      <c r="C4" s="2">
        <v>23</v>
      </c>
      <c r="D4" s="2">
        <v>34</v>
      </c>
      <c r="E4" s="2">
        <v>37</v>
      </c>
      <c r="F4" s="2">
        <v>54</v>
      </c>
      <c r="G4" s="2">
        <v>39</v>
      </c>
      <c r="H4" s="2">
        <v>46</v>
      </c>
      <c r="I4" s="2">
        <v>42</v>
      </c>
      <c r="J4" s="2">
        <v>39</v>
      </c>
      <c r="K4" s="2">
        <v>41</v>
      </c>
      <c r="L4" s="2">
        <v>39</v>
      </c>
      <c r="M4" s="2">
        <v>37</v>
      </c>
      <c r="N4" s="2">
        <v>42</v>
      </c>
      <c r="O4" s="2">
        <v>42</v>
      </c>
      <c r="P4" s="2">
        <v>35</v>
      </c>
      <c r="Q4" s="2">
        <v>43</v>
      </c>
      <c r="R4" s="2">
        <v>31</v>
      </c>
      <c r="S4" s="2">
        <v>45</v>
      </c>
      <c r="T4" s="2">
        <v>39</v>
      </c>
      <c r="U4" s="2">
        <v>45</v>
      </c>
      <c r="V4" s="2">
        <v>29</v>
      </c>
      <c r="W4" s="2">
        <v>46</v>
      </c>
      <c r="X4" s="2">
        <v>39</v>
      </c>
      <c r="Y4" s="2">
        <v>42</v>
      </c>
      <c r="Z4" s="2">
        <v>37</v>
      </c>
      <c r="AA4" s="2">
        <v>36</v>
      </c>
      <c r="AB4" s="2">
        <v>36</v>
      </c>
      <c r="AC4" s="2">
        <v>42</v>
      </c>
      <c r="AD4" s="2">
        <v>42</v>
      </c>
      <c r="AE4" s="2">
        <v>38</v>
      </c>
    </row>
    <row r="5" spans="1:31" x14ac:dyDescent="0.3">
      <c r="A5" s="5" t="s">
        <v>19</v>
      </c>
      <c r="B5" s="3" t="s">
        <v>20</v>
      </c>
      <c r="C5" s="2">
        <v>0</v>
      </c>
      <c r="D5" s="2">
        <v>2.615384615384615</v>
      </c>
      <c r="E5" s="2">
        <v>7.115384615384615</v>
      </c>
      <c r="F5" s="2">
        <v>2.0769230769230771</v>
      </c>
      <c r="G5" s="2">
        <v>2.9999999999999996</v>
      </c>
      <c r="H5" s="2">
        <v>8.8461538461538449</v>
      </c>
      <c r="I5" s="2">
        <v>1.6153846153846154</v>
      </c>
      <c r="J5" s="2">
        <v>5.9999999999999991</v>
      </c>
      <c r="K5" s="2">
        <v>3.1538461538461533</v>
      </c>
      <c r="L5" s="2">
        <v>7.4999999999999991</v>
      </c>
      <c r="M5" s="2">
        <v>2.8461538461538463</v>
      </c>
      <c r="N5" s="2">
        <v>6.4615384615384617</v>
      </c>
      <c r="O5" s="2">
        <v>3.2307692307692308</v>
      </c>
      <c r="P5" s="2">
        <v>6.7307692307692299</v>
      </c>
      <c r="Q5" s="2">
        <v>6.6153846153846141</v>
      </c>
      <c r="R5" s="2">
        <v>13.115384615384617</v>
      </c>
      <c r="S5" s="2">
        <v>15.576923076923075</v>
      </c>
      <c r="T5" s="2">
        <v>8.9999999999999982</v>
      </c>
      <c r="U5" s="2">
        <v>3.4615384615384612</v>
      </c>
      <c r="V5" s="2">
        <v>1.1153846153846152</v>
      </c>
      <c r="W5" s="2">
        <v>8.8461538461538449</v>
      </c>
      <c r="X5" s="2">
        <v>7.4999999999999991</v>
      </c>
      <c r="Y5" s="2">
        <v>3.2307692307692308</v>
      </c>
      <c r="Z5" s="2">
        <v>8.5384615384615383</v>
      </c>
      <c r="AA5" s="2">
        <v>0</v>
      </c>
      <c r="AB5" s="2">
        <v>4.1538461538461533</v>
      </c>
      <c r="AC5" s="2">
        <v>1.6153846153846154</v>
      </c>
      <c r="AD5" s="2">
        <v>1.6153846153846154</v>
      </c>
      <c r="AE5" s="2">
        <v>1.4615384615384612</v>
      </c>
    </row>
    <row r="6" spans="1:31" x14ac:dyDescent="0.3">
      <c r="A6" s="5"/>
      <c r="B6" s="3" t="s">
        <v>21</v>
      </c>
      <c r="C6" s="2">
        <v>1.7692307692307689</v>
      </c>
      <c r="D6" s="2">
        <v>3.9230769230769225</v>
      </c>
      <c r="E6" s="2">
        <v>2.8461538461538463</v>
      </c>
      <c r="F6" s="2">
        <v>4.1538461538461542</v>
      </c>
      <c r="G6" s="2">
        <v>1.4999999999999998</v>
      </c>
      <c r="H6" s="2">
        <v>7.0769230769230758</v>
      </c>
      <c r="I6" s="2">
        <v>1.6153846153846154</v>
      </c>
      <c r="J6" s="2">
        <v>1.4999999999999998</v>
      </c>
      <c r="K6" s="2">
        <v>3.1538461538461533</v>
      </c>
      <c r="L6" s="2">
        <v>2.9999999999999996</v>
      </c>
      <c r="M6" s="2">
        <v>2.8461538461538463</v>
      </c>
      <c r="N6" s="2">
        <v>4.8461538461538458</v>
      </c>
      <c r="O6" s="2">
        <v>6.4615384615384617</v>
      </c>
      <c r="P6" s="2">
        <v>1.346153846153846</v>
      </c>
      <c r="Q6" s="2">
        <v>4.9615384615384608</v>
      </c>
      <c r="R6" s="2">
        <v>15.5</v>
      </c>
      <c r="S6" s="2">
        <v>20.769230769230766</v>
      </c>
      <c r="T6" s="2">
        <v>2.9999999999999996</v>
      </c>
      <c r="U6" s="2">
        <v>5.1923076923076916</v>
      </c>
      <c r="V6" s="2">
        <v>1.1153846153846152</v>
      </c>
      <c r="W6" s="2">
        <v>3.5384615384615379</v>
      </c>
      <c r="X6" s="2">
        <v>4.4999999999999991</v>
      </c>
      <c r="Y6" s="2">
        <v>4.8461538461538458</v>
      </c>
      <c r="Z6" s="2">
        <v>2.8461538461538463</v>
      </c>
      <c r="AA6" s="2">
        <v>2.7692307692307692</v>
      </c>
      <c r="AB6" s="2">
        <v>1.3846153846153846</v>
      </c>
      <c r="AC6" s="2">
        <v>4.8461538461538458</v>
      </c>
      <c r="AD6" s="2">
        <v>1.6153846153846154</v>
      </c>
      <c r="AE6" s="2">
        <v>4.3846153846153841</v>
      </c>
    </row>
    <row r="7" spans="1:31" x14ac:dyDescent="0.3">
      <c r="A7" s="5"/>
      <c r="B7" s="3" t="s">
        <v>22</v>
      </c>
      <c r="C7" s="2">
        <v>0</v>
      </c>
      <c r="D7" s="2">
        <v>1.3076923076923075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1.4999999999999998</v>
      </c>
      <c r="K7" s="2">
        <v>0</v>
      </c>
      <c r="L7" s="2">
        <v>0</v>
      </c>
      <c r="M7" s="2">
        <v>1.4230769230769231</v>
      </c>
      <c r="N7" s="2">
        <v>0</v>
      </c>
      <c r="O7" s="2">
        <v>1.6153846153846154</v>
      </c>
      <c r="P7" s="2">
        <v>0</v>
      </c>
      <c r="Q7" s="2">
        <v>0</v>
      </c>
      <c r="R7" s="2">
        <v>0</v>
      </c>
      <c r="S7" s="2">
        <v>3.4615384615384612</v>
      </c>
      <c r="T7" s="2">
        <v>0</v>
      </c>
      <c r="U7" s="2">
        <v>0</v>
      </c>
      <c r="V7" s="2">
        <v>0</v>
      </c>
      <c r="W7" s="2">
        <v>3.5384615384615379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1" x14ac:dyDescent="0.3">
      <c r="A8" s="5"/>
      <c r="B8" s="3" t="s">
        <v>23</v>
      </c>
      <c r="C8" s="2">
        <v>1.7692307692307689</v>
      </c>
      <c r="D8" s="2">
        <v>0</v>
      </c>
      <c r="E8" s="2">
        <v>1.4230769230769231</v>
      </c>
      <c r="F8" s="2">
        <v>0</v>
      </c>
      <c r="G8" s="2">
        <v>0</v>
      </c>
      <c r="H8" s="2">
        <v>3.5384615384615379</v>
      </c>
      <c r="I8" s="2">
        <v>0</v>
      </c>
      <c r="J8" s="2">
        <v>0</v>
      </c>
      <c r="K8" s="2">
        <v>0</v>
      </c>
      <c r="L8" s="2">
        <v>2.9999999999999996</v>
      </c>
      <c r="M8" s="2">
        <v>1.4230769230769231</v>
      </c>
      <c r="N8" s="2">
        <v>0</v>
      </c>
      <c r="O8" s="2">
        <v>0</v>
      </c>
      <c r="P8" s="2">
        <v>0</v>
      </c>
      <c r="Q8" s="2">
        <v>1.6538461538461535</v>
      </c>
      <c r="R8" s="2">
        <v>0</v>
      </c>
      <c r="S8" s="2">
        <v>1.7307692307692306</v>
      </c>
      <c r="T8" s="2">
        <v>0</v>
      </c>
      <c r="U8" s="2">
        <v>1.7307692307692306</v>
      </c>
      <c r="V8" s="2">
        <v>0</v>
      </c>
      <c r="W8" s="2">
        <v>1.7692307692307689</v>
      </c>
      <c r="X8" s="2">
        <v>2.9999999999999996</v>
      </c>
      <c r="Y8" s="2">
        <v>0</v>
      </c>
      <c r="Z8" s="2">
        <v>1.4230769230769231</v>
      </c>
      <c r="AA8" s="2">
        <v>0</v>
      </c>
      <c r="AB8" s="2">
        <v>0</v>
      </c>
      <c r="AC8" s="2">
        <v>1.6153846153846154</v>
      </c>
      <c r="AD8" s="2">
        <v>0</v>
      </c>
      <c r="AE8" s="2">
        <v>0</v>
      </c>
    </row>
    <row r="9" spans="1:31" x14ac:dyDescent="0.3">
      <c r="A9" s="5"/>
      <c r="B9" s="3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1.7692307692307689</v>
      </c>
      <c r="I9" s="2">
        <v>1.6153846153846154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1.6538461538461535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 x14ac:dyDescent="0.3">
      <c r="A10" s="5"/>
      <c r="B10" s="3" t="s">
        <v>25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1.5769230769230766</v>
      </c>
      <c r="L10" s="2">
        <v>0</v>
      </c>
      <c r="M10" s="2">
        <v>0</v>
      </c>
      <c r="N10" s="2">
        <v>0</v>
      </c>
      <c r="O10" s="2">
        <v>0</v>
      </c>
      <c r="P10" s="2">
        <v>1.346153846153846</v>
      </c>
      <c r="Q10" s="2">
        <v>0</v>
      </c>
      <c r="R10" s="2">
        <v>3.5769230769230766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1.6153846153846154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2.9230769230769225</v>
      </c>
    </row>
    <row r="11" spans="1:31" x14ac:dyDescent="0.3">
      <c r="A11" s="5"/>
      <c r="B11" s="3" t="s">
        <v>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1.7692307692307689</v>
      </c>
      <c r="I11" s="2">
        <v>0</v>
      </c>
      <c r="J11" s="2">
        <v>0</v>
      </c>
      <c r="K11" s="2">
        <v>0</v>
      </c>
      <c r="L11" s="2">
        <v>2.9999999999999996</v>
      </c>
      <c r="M11" s="2">
        <v>2.8461538461538463</v>
      </c>
      <c r="N11" s="2">
        <v>3.2307692307692308</v>
      </c>
      <c r="O11" s="2">
        <v>0</v>
      </c>
      <c r="P11" s="2">
        <v>0</v>
      </c>
      <c r="Q11" s="2">
        <v>1.6538461538461535</v>
      </c>
      <c r="R11" s="2">
        <v>2.3846153846153846</v>
      </c>
      <c r="S11" s="2">
        <v>3.4615384615384612</v>
      </c>
      <c r="T11" s="2">
        <v>4.4999999999999991</v>
      </c>
      <c r="U11" s="2">
        <v>0</v>
      </c>
      <c r="V11" s="2">
        <v>0</v>
      </c>
      <c r="W11" s="2">
        <v>0</v>
      </c>
      <c r="X11" s="2">
        <v>0</v>
      </c>
      <c r="Y11" s="2">
        <v>3.2307692307692308</v>
      </c>
      <c r="Z11" s="2">
        <v>1.4230769230769231</v>
      </c>
      <c r="AA11" s="2">
        <v>1.3846153846153846</v>
      </c>
      <c r="AB11" s="2">
        <v>1.3846153846153846</v>
      </c>
      <c r="AC11" s="2">
        <v>1.6153846153846154</v>
      </c>
      <c r="AD11" s="2">
        <v>0</v>
      </c>
      <c r="AE11" s="2">
        <v>4.3846153846153841</v>
      </c>
    </row>
    <row r="12" spans="1:31" x14ac:dyDescent="0.3">
      <c r="A12" s="5"/>
      <c r="B12" s="3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1.4999999999999998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 x14ac:dyDescent="0.3">
      <c r="A13" s="5"/>
      <c r="B13" s="3" t="s">
        <v>28</v>
      </c>
      <c r="C13" s="2">
        <v>0.88461538461538447</v>
      </c>
      <c r="D13" s="2">
        <v>0</v>
      </c>
      <c r="E13" s="2">
        <v>2.8461538461538463</v>
      </c>
      <c r="F13" s="2">
        <v>2.0769230769230771</v>
      </c>
      <c r="G13" s="2">
        <v>2.9999999999999996</v>
      </c>
      <c r="H13" s="2">
        <v>3.5384615384615379</v>
      </c>
      <c r="I13" s="2">
        <v>1.6153846153846154</v>
      </c>
      <c r="J13" s="2">
        <v>1.4999999999999998</v>
      </c>
      <c r="K13" s="2">
        <v>6.3076923076923066</v>
      </c>
      <c r="L13" s="2">
        <v>5.9999999999999991</v>
      </c>
      <c r="M13" s="2">
        <v>1.4230769230769231</v>
      </c>
      <c r="N13" s="2">
        <v>4.8461538461538458</v>
      </c>
      <c r="O13" s="2">
        <v>0</v>
      </c>
      <c r="P13" s="2">
        <v>1.346153846153846</v>
      </c>
      <c r="Q13" s="2">
        <v>0</v>
      </c>
      <c r="R13" s="2">
        <v>2.3846153846153846</v>
      </c>
      <c r="S13" s="2">
        <v>3.4615384615384612</v>
      </c>
      <c r="T13" s="2">
        <v>0</v>
      </c>
      <c r="U13" s="2">
        <v>0</v>
      </c>
      <c r="V13" s="2">
        <v>2.2307692307692304</v>
      </c>
      <c r="W13" s="2">
        <v>1.7692307692307689</v>
      </c>
      <c r="X13" s="2">
        <v>1.4999999999999998</v>
      </c>
      <c r="Y13" s="2">
        <v>1.6153846153846154</v>
      </c>
      <c r="Z13" s="2">
        <v>1.4230769230769231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</row>
    <row r="14" spans="1:31" x14ac:dyDescent="0.3">
      <c r="A14" s="5"/>
      <c r="B14" s="3" t="s">
        <v>29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2.9999999999999996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x14ac:dyDescent="0.3">
      <c r="A15" s="5"/>
      <c r="B15" s="3" t="s">
        <v>30</v>
      </c>
      <c r="C15" s="2">
        <v>0</v>
      </c>
      <c r="D15" s="2">
        <v>0</v>
      </c>
      <c r="E15" s="2">
        <v>1.4230769230769231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3.1538461538461533</v>
      </c>
      <c r="L15" s="2">
        <v>2.9999999999999996</v>
      </c>
      <c r="M15" s="2">
        <v>0</v>
      </c>
      <c r="N15" s="2">
        <v>1.6153846153846154</v>
      </c>
      <c r="O15" s="2">
        <v>1.6153846153846154</v>
      </c>
      <c r="P15" s="2">
        <v>0</v>
      </c>
      <c r="Q15" s="2">
        <v>1.6538461538461535</v>
      </c>
      <c r="R15" s="2">
        <v>1.1923076923076923</v>
      </c>
      <c r="S15" s="2">
        <v>3.4615384615384612</v>
      </c>
      <c r="T15" s="2">
        <v>0</v>
      </c>
      <c r="U15" s="2">
        <v>1.7307692307692306</v>
      </c>
      <c r="V15" s="2">
        <v>0</v>
      </c>
      <c r="W15" s="2">
        <v>0</v>
      </c>
      <c r="X15" s="2">
        <v>0</v>
      </c>
      <c r="Y15" s="2">
        <v>0</v>
      </c>
      <c r="Z15" s="2">
        <v>1.4230769230769231</v>
      </c>
      <c r="AA15" s="2">
        <v>1.3846153846153846</v>
      </c>
      <c r="AB15" s="2">
        <v>0</v>
      </c>
      <c r="AC15" s="2">
        <v>1.6153846153846154</v>
      </c>
      <c r="AD15" s="2">
        <v>0</v>
      </c>
      <c r="AE15" s="2">
        <v>2.9230769230769225</v>
      </c>
    </row>
    <row r="16" spans="1:31" x14ac:dyDescent="0.3">
      <c r="A16" s="5"/>
      <c r="B16" s="3" t="s">
        <v>31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1.6153846153846154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3">
      <c r="A17" s="5"/>
      <c r="B17" s="3" t="s">
        <v>32</v>
      </c>
      <c r="C17" s="2">
        <v>0</v>
      </c>
      <c r="D17" s="2">
        <v>0</v>
      </c>
      <c r="E17" s="2">
        <v>0</v>
      </c>
      <c r="F17" s="2">
        <v>2.0769230769230771</v>
      </c>
      <c r="G17" s="2">
        <v>1.4999999999999998</v>
      </c>
      <c r="H17" s="2">
        <v>0</v>
      </c>
      <c r="I17" s="2">
        <v>3.2307692307692308</v>
      </c>
      <c r="J17" s="2">
        <v>0</v>
      </c>
      <c r="K17" s="2">
        <v>1.5769230769230766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2.3846153846153846</v>
      </c>
      <c r="S17" s="2">
        <v>5.1923076923076916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x14ac:dyDescent="0.3">
      <c r="A18" s="5"/>
      <c r="B18" s="3" t="s">
        <v>33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1.7307692307692306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</row>
    <row r="19" spans="1:31" x14ac:dyDescent="0.3">
      <c r="A19" s="5"/>
      <c r="B19" s="3" t="s">
        <v>34</v>
      </c>
      <c r="C19" s="2">
        <v>1.7692307692307689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1.6153846153846154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1.4999999999999998</v>
      </c>
      <c r="U19" s="2">
        <v>0</v>
      </c>
      <c r="V19" s="2">
        <v>1.1153846153846152</v>
      </c>
      <c r="W19" s="2">
        <v>0</v>
      </c>
      <c r="X19" s="2">
        <v>0</v>
      </c>
      <c r="Y19" s="2">
        <v>0</v>
      </c>
      <c r="Z19" s="2">
        <v>0</v>
      </c>
      <c r="AA19" s="2">
        <v>1.3846153846153846</v>
      </c>
      <c r="AB19" s="2">
        <v>0</v>
      </c>
      <c r="AC19" s="2">
        <v>0</v>
      </c>
      <c r="AD19" s="2">
        <v>1.6153846153846154</v>
      </c>
      <c r="AE19" s="2">
        <v>0</v>
      </c>
    </row>
    <row r="20" spans="1:31" x14ac:dyDescent="0.3">
      <c r="A20" s="5"/>
      <c r="B20" s="3" t="s">
        <v>35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1.4230769230769231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x14ac:dyDescent="0.3">
      <c r="A21" s="5"/>
      <c r="B21" s="3" t="s">
        <v>36</v>
      </c>
      <c r="C21" s="2">
        <v>0</v>
      </c>
      <c r="D21" s="2">
        <v>0</v>
      </c>
      <c r="E21" s="2">
        <v>0</v>
      </c>
      <c r="F21" s="2">
        <v>2.0769230769230771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1.7307692307692306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1.3846153846153846</v>
      </c>
      <c r="AC21" s="2">
        <v>0</v>
      </c>
      <c r="AD21" s="2">
        <v>0</v>
      </c>
      <c r="AE21" s="2">
        <v>0</v>
      </c>
    </row>
    <row r="22" spans="1:31" x14ac:dyDescent="0.3">
      <c r="A22" s="5"/>
      <c r="B22" s="3" t="s">
        <v>37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2.9999999999999996</v>
      </c>
      <c r="K22" s="2">
        <v>0</v>
      </c>
      <c r="L22" s="2">
        <v>0</v>
      </c>
      <c r="M22" s="2">
        <v>0</v>
      </c>
      <c r="N22" s="2">
        <v>1.6153846153846154</v>
      </c>
      <c r="O22" s="2">
        <v>0</v>
      </c>
      <c r="P22" s="2">
        <v>0</v>
      </c>
      <c r="Q22" s="2">
        <v>1.6538461538461535</v>
      </c>
      <c r="R22" s="2">
        <v>1.1923076923076923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2.9999999999999996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3">
      <c r="A23" s="5"/>
      <c r="B23" s="3" t="s">
        <v>38</v>
      </c>
      <c r="C23" s="2">
        <v>0</v>
      </c>
      <c r="D23" s="2">
        <v>0</v>
      </c>
      <c r="E23" s="2">
        <v>0</v>
      </c>
      <c r="F23" s="2">
        <v>2.0769230769230771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3">
      <c r="A24" s="5" t="s">
        <v>39</v>
      </c>
      <c r="B24" s="3" t="s">
        <v>40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1.5769230769230766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</row>
    <row r="25" spans="1:31" x14ac:dyDescent="0.3">
      <c r="A25" s="5"/>
      <c r="B25" s="3" t="s">
        <v>41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1.6153846153846154</v>
      </c>
      <c r="J25" s="2">
        <v>2.9999999999999996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1.6538461538461535</v>
      </c>
      <c r="R25" s="2">
        <v>0</v>
      </c>
      <c r="S25" s="2">
        <v>0</v>
      </c>
      <c r="T25" s="2">
        <v>0</v>
      </c>
      <c r="U25" s="2">
        <v>0</v>
      </c>
      <c r="V25" s="2">
        <v>1.1153846153846152</v>
      </c>
      <c r="W25" s="2">
        <v>0</v>
      </c>
      <c r="X25" s="2">
        <v>0</v>
      </c>
      <c r="Y25" s="2">
        <v>0</v>
      </c>
      <c r="Z25" s="2">
        <v>0</v>
      </c>
      <c r="AA25" s="2">
        <v>1.3846153846153846</v>
      </c>
      <c r="AB25" s="2">
        <v>0</v>
      </c>
      <c r="AC25" s="2">
        <v>1.6153846153846154</v>
      </c>
      <c r="AD25" s="2">
        <v>0</v>
      </c>
      <c r="AE25" s="2">
        <v>1.4615384615384612</v>
      </c>
    </row>
    <row r="26" spans="1:31" x14ac:dyDescent="0.3">
      <c r="A26" s="5"/>
      <c r="B26" s="3" t="s">
        <v>42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1.6153846153846154</v>
      </c>
      <c r="AE26" s="2">
        <v>0</v>
      </c>
    </row>
    <row r="27" spans="1:31" x14ac:dyDescent="0.3">
      <c r="A27" s="5"/>
      <c r="B27" s="3" t="s">
        <v>43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1.7307692307692306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</row>
    <row r="28" spans="1:31" x14ac:dyDescent="0.3">
      <c r="A28" s="5"/>
      <c r="B28" s="3" t="s">
        <v>44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1.6153846153846154</v>
      </c>
      <c r="AD28" s="2">
        <v>0</v>
      </c>
      <c r="AE28" s="2">
        <v>0</v>
      </c>
    </row>
    <row r="29" spans="1:31" x14ac:dyDescent="0.3">
      <c r="A29" s="5"/>
      <c r="B29" s="3" t="s">
        <v>45</v>
      </c>
      <c r="C29" s="2">
        <v>0</v>
      </c>
      <c r="D29" s="2">
        <v>0</v>
      </c>
      <c r="E29" s="2">
        <v>0</v>
      </c>
      <c r="F29" s="2">
        <v>2.0769230769230771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1.1923076923076923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x14ac:dyDescent="0.3">
      <c r="A30" s="5"/>
      <c r="B30" s="3" t="s">
        <v>46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1.6153846153846154</v>
      </c>
      <c r="AE30" s="2">
        <v>0</v>
      </c>
    </row>
    <row r="31" spans="1:31" x14ac:dyDescent="0.3">
      <c r="A31" s="5"/>
      <c r="B31" s="3" t="s">
        <v>47</v>
      </c>
      <c r="C31" s="2">
        <v>0</v>
      </c>
      <c r="D31" s="2">
        <v>0</v>
      </c>
      <c r="E31" s="2">
        <v>1.4230769230769231</v>
      </c>
      <c r="F31" s="2">
        <v>0</v>
      </c>
      <c r="G31" s="2">
        <v>1.4999999999999998</v>
      </c>
      <c r="H31" s="2">
        <v>0</v>
      </c>
      <c r="I31" s="2">
        <v>0</v>
      </c>
      <c r="J31" s="2">
        <v>0</v>
      </c>
      <c r="K31" s="2">
        <v>0</v>
      </c>
      <c r="L31" s="2">
        <v>1.4999999999999998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 x14ac:dyDescent="0.3">
      <c r="A32" s="5"/>
      <c r="B32" s="3" t="s">
        <v>48</v>
      </c>
      <c r="C32" s="2">
        <v>0</v>
      </c>
      <c r="D32" s="2">
        <v>2.615384615384615</v>
      </c>
      <c r="E32" s="2">
        <v>0</v>
      </c>
      <c r="F32" s="2">
        <v>2.0769230769230771</v>
      </c>
      <c r="G32" s="2">
        <v>0</v>
      </c>
      <c r="H32" s="2">
        <v>1.7692307692307689</v>
      </c>
      <c r="I32" s="2">
        <v>0</v>
      </c>
      <c r="J32" s="2">
        <v>0</v>
      </c>
      <c r="K32" s="2">
        <v>1.5769230769230766</v>
      </c>
      <c r="L32" s="2">
        <v>0</v>
      </c>
      <c r="M32" s="2">
        <v>1.4230769230769231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1.1153846153846152</v>
      </c>
      <c r="W32" s="2">
        <v>0</v>
      </c>
      <c r="X32" s="2">
        <v>0</v>
      </c>
      <c r="Y32" s="2">
        <v>3.2307692307692308</v>
      </c>
      <c r="Z32" s="2">
        <v>0</v>
      </c>
      <c r="AA32" s="2">
        <v>0</v>
      </c>
      <c r="AB32" s="2">
        <v>1.3846153846153846</v>
      </c>
      <c r="AC32" s="2">
        <v>1.6153846153846154</v>
      </c>
      <c r="AD32" s="2">
        <v>3.2307692307692308</v>
      </c>
      <c r="AE32" s="2">
        <v>1.4615384615384612</v>
      </c>
    </row>
    <row r="33" spans="1:31" x14ac:dyDescent="0.3">
      <c r="A33" s="4" t="s">
        <v>49</v>
      </c>
      <c r="B33" s="3" t="s">
        <v>50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1.1923076923076923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x14ac:dyDescent="0.3">
      <c r="A34" s="9" t="s">
        <v>51</v>
      </c>
      <c r="B34" s="3" t="s">
        <v>52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1.346153846153846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3.2307692307692308</v>
      </c>
      <c r="Z34" s="2">
        <v>1.4230769230769231</v>
      </c>
      <c r="AA34" s="2">
        <v>0</v>
      </c>
      <c r="AB34" s="2">
        <v>0</v>
      </c>
      <c r="AC34" s="2">
        <v>3.2307692307692308</v>
      </c>
      <c r="AD34" s="2">
        <v>0</v>
      </c>
      <c r="AE34" s="2">
        <v>0</v>
      </c>
    </row>
    <row r="35" spans="1:31" x14ac:dyDescent="0.3">
      <c r="A35" s="10"/>
      <c r="B35" s="3" t="s">
        <v>53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1.7307692307692306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x14ac:dyDescent="0.3">
      <c r="A36" s="10"/>
      <c r="B36" s="3" t="s">
        <v>54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1.7307692307692306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3">
      <c r="A37" s="11"/>
      <c r="B37" s="3" t="s">
        <v>55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1.1153846153846152</v>
      </c>
      <c r="W37" s="2">
        <v>0</v>
      </c>
      <c r="X37" s="2">
        <v>0</v>
      </c>
      <c r="Y37" s="2">
        <v>1.6153846153846154</v>
      </c>
      <c r="Z37" s="2">
        <v>0</v>
      </c>
      <c r="AA37" s="2">
        <v>1.3846153846153846</v>
      </c>
      <c r="AB37" s="2">
        <v>1.3846153846153846</v>
      </c>
      <c r="AC37" s="2">
        <v>3.2307692307692308</v>
      </c>
      <c r="AD37" s="2">
        <v>4.8461538461538458</v>
      </c>
      <c r="AE37" s="2">
        <v>1.4615384615384612</v>
      </c>
    </row>
    <row r="38" spans="1:31" x14ac:dyDescent="0.3">
      <c r="A38" s="5" t="s">
        <v>56</v>
      </c>
      <c r="B38" s="5"/>
      <c r="C38" s="2">
        <f t="shared" ref="C38:AE38" si="0">SUM(C5:C37)</f>
        <v>6.1923076923076916</v>
      </c>
      <c r="D38" s="2">
        <f t="shared" si="0"/>
        <v>10.46153846153846</v>
      </c>
      <c r="E38" s="2">
        <f t="shared" si="0"/>
        <v>17.076923076923077</v>
      </c>
      <c r="F38" s="2">
        <f t="shared" si="0"/>
        <v>18.692307692307693</v>
      </c>
      <c r="G38" s="2">
        <f t="shared" si="0"/>
        <v>10.499999999999998</v>
      </c>
      <c r="H38" s="2">
        <f t="shared" si="0"/>
        <v>28.307692307692303</v>
      </c>
      <c r="I38" s="2">
        <f t="shared" si="0"/>
        <v>11.307692307692308</v>
      </c>
      <c r="J38" s="2">
        <f t="shared" si="0"/>
        <v>16.499999999999996</v>
      </c>
      <c r="K38" s="2">
        <f t="shared" si="0"/>
        <v>22.076923076923073</v>
      </c>
      <c r="L38" s="2">
        <f t="shared" si="0"/>
        <v>29.999999999999996</v>
      </c>
      <c r="M38" s="2">
        <f t="shared" si="0"/>
        <v>14.230769230769232</v>
      </c>
      <c r="N38" s="2">
        <f t="shared" si="0"/>
        <v>24.230769230769234</v>
      </c>
      <c r="O38" s="2">
        <f t="shared" si="0"/>
        <v>12.923076923076923</v>
      </c>
      <c r="P38" s="2">
        <f t="shared" si="0"/>
        <v>12.115384615384617</v>
      </c>
      <c r="Q38" s="2">
        <f t="shared" si="0"/>
        <v>21.499999999999996</v>
      </c>
      <c r="R38" s="2">
        <f t="shared" si="0"/>
        <v>44.115384615384627</v>
      </c>
      <c r="S38" s="2">
        <f t="shared" si="0"/>
        <v>60.576923076923073</v>
      </c>
      <c r="T38" s="2">
        <f t="shared" si="0"/>
        <v>17.999999999999996</v>
      </c>
      <c r="U38" s="2">
        <f t="shared" si="0"/>
        <v>17.307692307692303</v>
      </c>
      <c r="V38" s="2">
        <f t="shared" si="0"/>
        <v>8.9230769230769216</v>
      </c>
      <c r="W38" s="2">
        <f t="shared" si="0"/>
        <v>19.46153846153846</v>
      </c>
      <c r="X38" s="2">
        <f t="shared" si="0"/>
        <v>20.999999999999996</v>
      </c>
      <c r="Y38" s="2">
        <f t="shared" si="0"/>
        <v>24.23076923076923</v>
      </c>
      <c r="Z38" s="2">
        <f t="shared" si="0"/>
        <v>19.923076923076923</v>
      </c>
      <c r="AA38" s="2">
        <f t="shared" si="0"/>
        <v>9.6923076923076934</v>
      </c>
      <c r="AB38" s="2">
        <f t="shared" si="0"/>
        <v>11.076923076923078</v>
      </c>
      <c r="AC38" s="2">
        <f t="shared" si="0"/>
        <v>22.615384615384613</v>
      </c>
      <c r="AD38" s="2">
        <f t="shared" si="0"/>
        <v>16.153846153846153</v>
      </c>
      <c r="AE38" s="2">
        <f t="shared" si="0"/>
        <v>20.461538461538453</v>
      </c>
    </row>
  </sheetData>
  <mergeCells count="7">
    <mergeCell ref="A38:B38"/>
    <mergeCell ref="A1:B2"/>
    <mergeCell ref="A3:B3"/>
    <mergeCell ref="A4:B4"/>
    <mergeCell ref="A5:A23"/>
    <mergeCell ref="A24:A32"/>
    <mergeCell ref="A34:A3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7D2F-1AEB-43AF-BB26-5EE71C83AFDA}">
  <dimension ref="A1:AE38"/>
  <sheetViews>
    <sheetView workbookViewId="0">
      <selection sqref="A1:B2"/>
    </sheetView>
  </sheetViews>
  <sheetFormatPr defaultRowHeight="14" x14ac:dyDescent="0.3"/>
  <cols>
    <col min="1" max="1" width="14.33203125" customWidth="1"/>
    <col min="2" max="2" width="24.75" customWidth="1"/>
  </cols>
  <sheetData>
    <row r="1" spans="1:31" x14ac:dyDescent="0.3">
      <c r="A1" s="6" t="s">
        <v>60</v>
      </c>
      <c r="B1" s="6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6"/>
      <c r="B2" s="6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7" t="s">
        <v>0</v>
      </c>
      <c r="B3" s="7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2" t="s">
        <v>17</v>
      </c>
    </row>
    <row r="4" spans="1:31" x14ac:dyDescent="0.3">
      <c r="A4" s="8" t="s">
        <v>18</v>
      </c>
      <c r="B4" s="7"/>
      <c r="C4" s="2">
        <v>23</v>
      </c>
      <c r="D4" s="2">
        <v>34</v>
      </c>
      <c r="E4" s="2">
        <v>37</v>
      </c>
      <c r="F4" s="2">
        <v>54</v>
      </c>
      <c r="G4" s="2">
        <v>39</v>
      </c>
      <c r="H4" s="2">
        <v>46</v>
      </c>
      <c r="I4" s="2">
        <v>42</v>
      </c>
      <c r="J4" s="2">
        <v>39</v>
      </c>
      <c r="K4" s="2">
        <v>41</v>
      </c>
      <c r="L4" s="2">
        <v>39</v>
      </c>
      <c r="M4" s="2">
        <v>37</v>
      </c>
      <c r="N4" s="2">
        <v>42</v>
      </c>
      <c r="O4" s="2">
        <v>42</v>
      </c>
      <c r="P4" s="2">
        <v>35</v>
      </c>
      <c r="Q4" s="2">
        <v>43</v>
      </c>
      <c r="R4" s="2">
        <v>31</v>
      </c>
      <c r="S4" s="2">
        <v>45</v>
      </c>
      <c r="T4" s="2">
        <v>39</v>
      </c>
      <c r="U4" s="2">
        <v>45</v>
      </c>
      <c r="V4" s="2">
        <v>29</v>
      </c>
      <c r="W4" s="2">
        <v>46</v>
      </c>
      <c r="X4" s="2">
        <v>39</v>
      </c>
      <c r="Y4" s="2">
        <v>42</v>
      </c>
      <c r="Z4" s="2">
        <v>37</v>
      </c>
      <c r="AA4" s="2">
        <v>36</v>
      </c>
      <c r="AB4" s="2">
        <v>36</v>
      </c>
      <c r="AC4" s="2">
        <v>42</v>
      </c>
      <c r="AD4" s="2">
        <v>42</v>
      </c>
      <c r="AE4" s="2">
        <v>38</v>
      </c>
    </row>
    <row r="5" spans="1:31" x14ac:dyDescent="0.3">
      <c r="A5" s="5" t="s">
        <v>19</v>
      </c>
      <c r="B5" s="3" t="s">
        <v>20</v>
      </c>
      <c r="C5" s="2">
        <v>0</v>
      </c>
      <c r="D5" s="2">
        <v>5.2307692307692306E-5</v>
      </c>
      <c r="E5" s="2">
        <v>1.4230769230769231E-4</v>
      </c>
      <c r="F5" s="2">
        <v>4.1538461538461544E-5</v>
      </c>
      <c r="G5" s="2">
        <v>5.9999999999999995E-5</v>
      </c>
      <c r="H5" s="2">
        <v>1.769230769230769E-4</v>
      </c>
      <c r="I5" s="2">
        <v>3.2307692307692308E-5</v>
      </c>
      <c r="J5" s="2">
        <v>1.1999999999999999E-4</v>
      </c>
      <c r="K5" s="2">
        <v>6.3076923076923076E-5</v>
      </c>
      <c r="L5" s="2">
        <v>1.4999999999999999E-4</v>
      </c>
      <c r="M5" s="2">
        <v>5.6923076923076927E-5</v>
      </c>
      <c r="N5" s="2">
        <v>1.2923076923076923E-4</v>
      </c>
      <c r="O5" s="2">
        <v>6.4615384615384616E-5</v>
      </c>
      <c r="P5" s="2">
        <v>1.3461538461538461E-4</v>
      </c>
      <c r="Q5" s="2">
        <v>1.3230769230769229E-4</v>
      </c>
      <c r="R5" s="2">
        <v>2.6230769230769238E-4</v>
      </c>
      <c r="S5" s="2">
        <v>3.1153846153846151E-4</v>
      </c>
      <c r="T5" s="2">
        <v>1.7999999999999998E-4</v>
      </c>
      <c r="U5" s="2">
        <v>6.9230769230769224E-5</v>
      </c>
      <c r="V5" s="2">
        <v>2.2307692307692305E-5</v>
      </c>
      <c r="W5" s="2">
        <v>1.769230769230769E-4</v>
      </c>
      <c r="X5" s="2">
        <v>1.4999999999999999E-4</v>
      </c>
      <c r="Y5" s="2">
        <v>6.4615384615384616E-5</v>
      </c>
      <c r="Z5" s="2">
        <v>1.7076923076923077E-4</v>
      </c>
      <c r="AA5" s="2">
        <v>0</v>
      </c>
      <c r="AB5" s="2">
        <v>8.3076923076923074E-5</v>
      </c>
      <c r="AC5" s="2">
        <v>3.2307692307692308E-5</v>
      </c>
      <c r="AD5" s="2">
        <v>3.2307692307692308E-5</v>
      </c>
      <c r="AE5" s="2">
        <v>2.9230769230769227E-5</v>
      </c>
    </row>
    <row r="6" spans="1:31" x14ac:dyDescent="0.3">
      <c r="A6" s="5"/>
      <c r="B6" s="3" t="s">
        <v>21</v>
      </c>
      <c r="C6" s="2">
        <v>3.5384615384615382E-5</v>
      </c>
      <c r="D6" s="2">
        <v>7.8461538461538453E-5</v>
      </c>
      <c r="E6" s="2">
        <v>5.6923076923076927E-5</v>
      </c>
      <c r="F6" s="2">
        <v>8.3076923076923087E-5</v>
      </c>
      <c r="G6" s="2">
        <v>2.9999999999999997E-5</v>
      </c>
      <c r="H6" s="2">
        <v>1.4153846153846153E-4</v>
      </c>
      <c r="I6" s="2">
        <v>3.2307692307692308E-5</v>
      </c>
      <c r="J6" s="2">
        <v>2.9999999999999997E-5</v>
      </c>
      <c r="K6" s="2">
        <v>6.3076923076923076E-5</v>
      </c>
      <c r="L6" s="2">
        <v>5.9999999999999995E-5</v>
      </c>
      <c r="M6" s="2">
        <v>5.6923076923076927E-5</v>
      </c>
      <c r="N6" s="2">
        <v>9.6923076923076924E-5</v>
      </c>
      <c r="O6" s="2">
        <v>1.2923076923076923E-4</v>
      </c>
      <c r="P6" s="2">
        <v>2.6923076923076923E-5</v>
      </c>
      <c r="Q6" s="2">
        <v>9.9230769230769221E-5</v>
      </c>
      <c r="R6" s="2">
        <v>3.1E-4</v>
      </c>
      <c r="S6" s="2">
        <v>4.1538461538461537E-4</v>
      </c>
      <c r="T6" s="2">
        <v>5.9999999999999995E-5</v>
      </c>
      <c r="U6" s="2">
        <v>1.0384615384615384E-4</v>
      </c>
      <c r="V6" s="2">
        <v>2.2307692307692305E-5</v>
      </c>
      <c r="W6" s="2">
        <v>7.0769230769230764E-5</v>
      </c>
      <c r="X6" s="2">
        <v>8.9999999999999992E-5</v>
      </c>
      <c r="Y6" s="2">
        <v>9.6923076923076924E-5</v>
      </c>
      <c r="Z6" s="2">
        <v>5.6923076923076927E-5</v>
      </c>
      <c r="AA6" s="2">
        <v>5.5384615384615387E-5</v>
      </c>
      <c r="AB6" s="2">
        <v>2.7692307692307694E-5</v>
      </c>
      <c r="AC6" s="2">
        <v>9.6923076923076924E-5</v>
      </c>
      <c r="AD6" s="2">
        <v>3.2307692307692308E-5</v>
      </c>
      <c r="AE6" s="2">
        <v>8.7692307692307695E-5</v>
      </c>
    </row>
    <row r="7" spans="1:31" x14ac:dyDescent="0.3">
      <c r="A7" s="5"/>
      <c r="B7" s="3" t="s">
        <v>22</v>
      </c>
      <c r="C7" s="2">
        <v>0</v>
      </c>
      <c r="D7" s="2">
        <v>2.6153846153846153E-5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2.9999999999999997E-5</v>
      </c>
      <c r="K7" s="2">
        <v>0</v>
      </c>
      <c r="L7" s="2">
        <v>0</v>
      </c>
      <c r="M7" s="2">
        <v>2.8461538461538464E-5</v>
      </c>
      <c r="N7" s="2">
        <v>0</v>
      </c>
      <c r="O7" s="2">
        <v>3.2307692307692308E-5</v>
      </c>
      <c r="P7" s="2">
        <v>0</v>
      </c>
      <c r="Q7" s="2">
        <v>0</v>
      </c>
      <c r="R7" s="2">
        <v>0</v>
      </c>
      <c r="S7" s="2">
        <v>6.9230769230769224E-5</v>
      </c>
      <c r="T7" s="2">
        <v>0</v>
      </c>
      <c r="U7" s="2">
        <v>0</v>
      </c>
      <c r="V7" s="2">
        <v>0</v>
      </c>
      <c r="W7" s="2">
        <v>7.0769230769230764E-5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1" x14ac:dyDescent="0.3">
      <c r="A8" s="5"/>
      <c r="B8" s="3" t="s">
        <v>23</v>
      </c>
      <c r="C8" s="2">
        <v>3.5384615384615382E-5</v>
      </c>
      <c r="D8" s="2">
        <v>0</v>
      </c>
      <c r="E8" s="2">
        <v>2.8461538461538464E-5</v>
      </c>
      <c r="F8" s="2">
        <v>0</v>
      </c>
      <c r="G8" s="2">
        <v>0</v>
      </c>
      <c r="H8" s="2">
        <v>7.0769230769230764E-5</v>
      </c>
      <c r="I8" s="2">
        <v>0</v>
      </c>
      <c r="J8" s="2">
        <v>0</v>
      </c>
      <c r="K8" s="2">
        <v>0</v>
      </c>
      <c r="L8" s="2">
        <v>5.9999999999999995E-5</v>
      </c>
      <c r="M8" s="2">
        <v>2.8461538461538464E-5</v>
      </c>
      <c r="N8" s="2">
        <v>0</v>
      </c>
      <c r="O8" s="2">
        <v>0</v>
      </c>
      <c r="P8" s="2">
        <v>0</v>
      </c>
      <c r="Q8" s="2">
        <v>3.3076923076923071E-5</v>
      </c>
      <c r="R8" s="2">
        <v>0</v>
      </c>
      <c r="S8" s="2">
        <v>3.4615384615384612E-5</v>
      </c>
      <c r="T8" s="2">
        <v>0</v>
      </c>
      <c r="U8" s="2">
        <v>3.4615384615384612E-5</v>
      </c>
      <c r="V8" s="2">
        <v>0</v>
      </c>
      <c r="W8" s="2">
        <v>3.5384615384615382E-5</v>
      </c>
      <c r="X8" s="2">
        <v>5.9999999999999995E-5</v>
      </c>
      <c r="Y8" s="2">
        <v>0</v>
      </c>
      <c r="Z8" s="2">
        <v>2.8461538461538464E-5</v>
      </c>
      <c r="AA8" s="2">
        <v>0</v>
      </c>
      <c r="AB8" s="2">
        <v>0</v>
      </c>
      <c r="AC8" s="2">
        <v>3.2307692307692308E-5</v>
      </c>
      <c r="AD8" s="2">
        <v>0</v>
      </c>
      <c r="AE8" s="2">
        <v>0</v>
      </c>
    </row>
    <row r="9" spans="1:31" x14ac:dyDescent="0.3">
      <c r="A9" s="5"/>
      <c r="B9" s="3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3.5384615384615382E-5</v>
      </c>
      <c r="I9" s="2">
        <v>3.2307692307692308E-5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3.3076923076923071E-5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 x14ac:dyDescent="0.3">
      <c r="A10" s="5"/>
      <c r="B10" s="3" t="s">
        <v>25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3.1538461538461538E-5</v>
      </c>
      <c r="L10" s="2">
        <v>0</v>
      </c>
      <c r="M10" s="2">
        <v>0</v>
      </c>
      <c r="N10" s="2">
        <v>0</v>
      </c>
      <c r="O10" s="2">
        <v>0</v>
      </c>
      <c r="P10" s="2">
        <v>2.6923076923076923E-5</v>
      </c>
      <c r="Q10" s="2">
        <v>0</v>
      </c>
      <c r="R10" s="2">
        <v>7.1538461538461534E-5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3.2307692307692308E-5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5.8461538461538454E-5</v>
      </c>
    </row>
    <row r="11" spans="1:31" x14ac:dyDescent="0.3">
      <c r="A11" s="5"/>
      <c r="B11" s="3" t="s">
        <v>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3.5384615384615382E-5</v>
      </c>
      <c r="I11" s="2">
        <v>0</v>
      </c>
      <c r="J11" s="2">
        <v>0</v>
      </c>
      <c r="K11" s="2">
        <v>0</v>
      </c>
      <c r="L11" s="2">
        <v>5.9999999999999995E-5</v>
      </c>
      <c r="M11" s="2">
        <v>5.6923076923076927E-5</v>
      </c>
      <c r="N11" s="2">
        <v>6.4615384615384616E-5</v>
      </c>
      <c r="O11" s="2">
        <v>0</v>
      </c>
      <c r="P11" s="2">
        <v>0</v>
      </c>
      <c r="Q11" s="2">
        <v>3.3076923076923071E-5</v>
      </c>
      <c r="R11" s="2">
        <v>4.7692307692307699E-5</v>
      </c>
      <c r="S11" s="2">
        <v>6.9230769230769224E-5</v>
      </c>
      <c r="T11" s="2">
        <v>8.9999999999999992E-5</v>
      </c>
      <c r="U11" s="2">
        <v>0</v>
      </c>
      <c r="V11" s="2">
        <v>0</v>
      </c>
      <c r="W11" s="2">
        <v>0</v>
      </c>
      <c r="X11" s="2">
        <v>0</v>
      </c>
      <c r="Y11" s="2">
        <v>6.4615384615384616E-5</v>
      </c>
      <c r="Z11" s="2">
        <v>2.8461538461538464E-5</v>
      </c>
      <c r="AA11" s="2">
        <v>2.7692307692307694E-5</v>
      </c>
      <c r="AB11" s="2">
        <v>2.7692307692307694E-5</v>
      </c>
      <c r="AC11" s="2">
        <v>3.2307692307692308E-5</v>
      </c>
      <c r="AD11" s="2">
        <v>0</v>
      </c>
      <c r="AE11" s="2">
        <v>8.7692307692307695E-5</v>
      </c>
    </row>
    <row r="12" spans="1:31" x14ac:dyDescent="0.3">
      <c r="A12" s="5"/>
      <c r="B12" s="3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7.4999999999999993E-5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 x14ac:dyDescent="0.3">
      <c r="A13" s="5"/>
      <c r="B13" s="3" t="s">
        <v>28</v>
      </c>
      <c r="C13" s="2">
        <v>1.7692307692307691E-5</v>
      </c>
      <c r="D13" s="2">
        <v>0</v>
      </c>
      <c r="E13" s="2">
        <v>5.6923076923076927E-5</v>
      </c>
      <c r="F13" s="2">
        <v>4.1538461538461544E-5</v>
      </c>
      <c r="G13" s="2">
        <v>5.9999999999999995E-5</v>
      </c>
      <c r="H13" s="2">
        <v>7.0769230769230764E-5</v>
      </c>
      <c r="I13" s="2">
        <v>3.2307692307692308E-5</v>
      </c>
      <c r="J13" s="2">
        <v>2.9999999999999997E-5</v>
      </c>
      <c r="K13" s="2">
        <v>1.2615384615384615E-4</v>
      </c>
      <c r="L13" s="2">
        <v>1.1999999999999999E-4</v>
      </c>
      <c r="M13" s="2">
        <v>2.8461538461538464E-5</v>
      </c>
      <c r="N13" s="2">
        <v>9.6923076923076924E-5</v>
      </c>
      <c r="O13" s="2">
        <v>0</v>
      </c>
      <c r="P13" s="2">
        <v>2.6923076923076923E-5</v>
      </c>
      <c r="Q13" s="2">
        <v>0</v>
      </c>
      <c r="R13" s="2">
        <v>4.7692307692307699E-5</v>
      </c>
      <c r="S13" s="2">
        <v>6.9230769230769224E-5</v>
      </c>
      <c r="T13" s="2">
        <v>0</v>
      </c>
      <c r="U13" s="2">
        <v>0</v>
      </c>
      <c r="V13" s="2">
        <v>4.4615384615384611E-5</v>
      </c>
      <c r="W13" s="2">
        <v>3.5384615384615382E-5</v>
      </c>
      <c r="X13" s="2">
        <v>2.9999999999999997E-5</v>
      </c>
      <c r="Y13" s="2">
        <v>3.2307692307692308E-5</v>
      </c>
      <c r="Z13" s="2">
        <v>2.8461538461538464E-5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</row>
    <row r="14" spans="1:31" x14ac:dyDescent="0.3">
      <c r="A14" s="5"/>
      <c r="B14" s="3" t="s">
        <v>29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5.9999999999999995E-5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x14ac:dyDescent="0.3">
      <c r="A15" s="5"/>
      <c r="B15" s="3" t="s">
        <v>30</v>
      </c>
      <c r="C15" s="2">
        <v>0</v>
      </c>
      <c r="D15" s="2">
        <v>0</v>
      </c>
      <c r="E15" s="2">
        <v>2.8461538461538464E-5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6.3076923076923076E-5</v>
      </c>
      <c r="L15" s="2">
        <v>5.9999999999999995E-5</v>
      </c>
      <c r="M15" s="2">
        <v>0</v>
      </c>
      <c r="N15" s="2">
        <v>3.2307692307692308E-5</v>
      </c>
      <c r="O15" s="2">
        <v>3.2307692307692308E-5</v>
      </c>
      <c r="P15" s="2">
        <v>0</v>
      </c>
      <c r="Q15" s="2">
        <v>3.3076923076923071E-5</v>
      </c>
      <c r="R15" s="2">
        <v>2.3846153846153849E-5</v>
      </c>
      <c r="S15" s="2">
        <v>6.9230769230769224E-5</v>
      </c>
      <c r="T15" s="2">
        <v>0</v>
      </c>
      <c r="U15" s="2">
        <v>3.4615384615384612E-5</v>
      </c>
      <c r="V15" s="2">
        <v>0</v>
      </c>
      <c r="W15" s="2">
        <v>0</v>
      </c>
      <c r="X15" s="2">
        <v>0</v>
      </c>
      <c r="Y15" s="2">
        <v>0</v>
      </c>
      <c r="Z15" s="2">
        <v>2.8461538461538464E-5</v>
      </c>
      <c r="AA15" s="2">
        <v>2.7692307692307694E-5</v>
      </c>
      <c r="AB15" s="2">
        <v>0</v>
      </c>
      <c r="AC15" s="2">
        <v>3.2307692307692308E-5</v>
      </c>
      <c r="AD15" s="2">
        <v>0</v>
      </c>
      <c r="AE15" s="2">
        <v>5.8461538461538454E-5</v>
      </c>
    </row>
    <row r="16" spans="1:31" x14ac:dyDescent="0.3">
      <c r="A16" s="5"/>
      <c r="B16" s="3" t="s">
        <v>31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3.2307692307692308E-5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3">
      <c r="A17" s="5"/>
      <c r="B17" s="3" t="s">
        <v>32</v>
      </c>
      <c r="C17" s="2">
        <v>0</v>
      </c>
      <c r="D17" s="2">
        <v>0</v>
      </c>
      <c r="E17" s="2">
        <v>0</v>
      </c>
      <c r="F17" s="2">
        <v>4.1538461538461544E-5</v>
      </c>
      <c r="G17" s="2">
        <v>2.9999999999999997E-5</v>
      </c>
      <c r="H17" s="2">
        <v>0</v>
      </c>
      <c r="I17" s="2">
        <v>6.4615384615384616E-5</v>
      </c>
      <c r="J17" s="2">
        <v>0</v>
      </c>
      <c r="K17" s="2">
        <v>3.1538461538461538E-5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4.7692307692307699E-5</v>
      </c>
      <c r="S17" s="2">
        <v>1.0384615384615384E-4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x14ac:dyDescent="0.3">
      <c r="A18" s="5"/>
      <c r="B18" s="3" t="s">
        <v>33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3.4615384615384612E-5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</row>
    <row r="19" spans="1:31" x14ac:dyDescent="0.3">
      <c r="A19" s="5"/>
      <c r="B19" s="3" t="s">
        <v>34</v>
      </c>
      <c r="C19" s="2">
        <v>8.8461538461538452E-4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8.0769230769230777E-4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7.4999999999999991E-4</v>
      </c>
      <c r="U19" s="2">
        <v>0</v>
      </c>
      <c r="V19" s="2">
        <v>5.5769230769230765E-4</v>
      </c>
      <c r="W19" s="2">
        <v>0</v>
      </c>
      <c r="X19" s="2">
        <v>0</v>
      </c>
      <c r="Y19" s="2">
        <v>0</v>
      </c>
      <c r="Z19" s="2">
        <v>0</v>
      </c>
      <c r="AA19" s="2">
        <v>6.9230769230769226E-4</v>
      </c>
      <c r="AB19" s="2">
        <v>0</v>
      </c>
      <c r="AC19" s="2">
        <v>0</v>
      </c>
      <c r="AD19" s="2">
        <v>8.0769230769230777E-4</v>
      </c>
      <c r="AE19" s="2">
        <v>0</v>
      </c>
    </row>
    <row r="20" spans="1:31" x14ac:dyDescent="0.3">
      <c r="A20" s="5"/>
      <c r="B20" s="3" t="s">
        <v>35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1.7076923076923077E-4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x14ac:dyDescent="0.3">
      <c r="A21" s="5"/>
      <c r="B21" s="3" t="s">
        <v>36</v>
      </c>
      <c r="C21" s="2">
        <v>0</v>
      </c>
      <c r="D21" s="2">
        <v>0</v>
      </c>
      <c r="E21" s="2">
        <v>0</v>
      </c>
      <c r="F21" s="2">
        <v>1.0384615384615387E-3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8.653846153846153E-4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6.9230769230769226E-4</v>
      </c>
      <c r="AC21" s="2">
        <v>0</v>
      </c>
      <c r="AD21" s="2">
        <v>0</v>
      </c>
      <c r="AE21" s="2">
        <v>0</v>
      </c>
    </row>
    <row r="22" spans="1:31" x14ac:dyDescent="0.3">
      <c r="A22" s="5"/>
      <c r="B22" s="3" t="s">
        <v>37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5.9999999999999995E-5</v>
      </c>
      <c r="K22" s="2">
        <v>0</v>
      </c>
      <c r="L22" s="2">
        <v>0</v>
      </c>
      <c r="M22" s="2">
        <v>0</v>
      </c>
      <c r="N22" s="2">
        <v>3.2307692307692308E-5</v>
      </c>
      <c r="O22" s="2">
        <v>0</v>
      </c>
      <c r="P22" s="2">
        <v>0</v>
      </c>
      <c r="Q22" s="2">
        <v>3.3076923076923071E-5</v>
      </c>
      <c r="R22" s="2">
        <v>2.3846153846153849E-5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5.9999999999999995E-5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3">
      <c r="A23" s="5"/>
      <c r="B23" s="3" t="s">
        <v>38</v>
      </c>
      <c r="C23" s="2">
        <v>0</v>
      </c>
      <c r="D23" s="2">
        <v>0</v>
      </c>
      <c r="E23" s="2">
        <v>0</v>
      </c>
      <c r="F23" s="2">
        <v>7.476923076923078E-5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3">
      <c r="A24" s="5" t="s">
        <v>39</v>
      </c>
      <c r="B24" s="3" t="s">
        <v>40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7.8846153846153834E-4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</row>
    <row r="25" spans="1:31" x14ac:dyDescent="0.3">
      <c r="A25" s="5"/>
      <c r="B25" s="3" t="s">
        <v>41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1.6476923076923079E-3</v>
      </c>
      <c r="J25" s="2">
        <v>3.0599999999999998E-3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1.6869230769230767E-3</v>
      </c>
      <c r="R25" s="2">
        <v>0</v>
      </c>
      <c r="S25" s="2">
        <v>0</v>
      </c>
      <c r="T25" s="2">
        <v>0</v>
      </c>
      <c r="U25" s="2">
        <v>0</v>
      </c>
      <c r="V25" s="2">
        <v>1.1376923076923077E-3</v>
      </c>
      <c r="W25" s="2">
        <v>0</v>
      </c>
      <c r="X25" s="2">
        <v>0</v>
      </c>
      <c r="Y25" s="2">
        <v>0</v>
      </c>
      <c r="Z25" s="2">
        <v>0</v>
      </c>
      <c r="AA25" s="2">
        <v>1.4123076923076923E-3</v>
      </c>
      <c r="AB25" s="2">
        <v>0</v>
      </c>
      <c r="AC25" s="2">
        <v>1.6476923076923079E-3</v>
      </c>
      <c r="AD25" s="2">
        <v>0</v>
      </c>
      <c r="AE25" s="2">
        <v>1.4907692307692306E-3</v>
      </c>
    </row>
    <row r="26" spans="1:31" x14ac:dyDescent="0.3">
      <c r="A26" s="5"/>
      <c r="B26" s="3" t="s">
        <v>42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3.2307692307692311E-4</v>
      </c>
      <c r="AE26" s="2">
        <v>0</v>
      </c>
    </row>
    <row r="27" spans="1:31" x14ac:dyDescent="0.3">
      <c r="A27" s="5"/>
      <c r="B27" s="3" t="s">
        <v>43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3.4615384615384613E-4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</row>
    <row r="28" spans="1:31" x14ac:dyDescent="0.3">
      <c r="A28" s="5"/>
      <c r="B28" s="3" t="s">
        <v>44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6.4615384615384621E-4</v>
      </c>
      <c r="AD28" s="2">
        <v>0</v>
      </c>
      <c r="AE28" s="2">
        <v>0</v>
      </c>
    </row>
    <row r="29" spans="1:31" x14ac:dyDescent="0.3">
      <c r="A29" s="5"/>
      <c r="B29" s="3" t="s">
        <v>45</v>
      </c>
      <c r="C29" s="2">
        <v>0</v>
      </c>
      <c r="D29" s="2">
        <v>0</v>
      </c>
      <c r="E29" s="2">
        <v>0</v>
      </c>
      <c r="F29" s="2">
        <v>1.2461538461538464E-4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7.1538461538461534E-5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x14ac:dyDescent="0.3">
      <c r="A30" s="5"/>
      <c r="B30" s="3" t="s">
        <v>46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9.6923076923076924E-5</v>
      </c>
      <c r="AE30" s="2">
        <v>0</v>
      </c>
    </row>
    <row r="31" spans="1:31" x14ac:dyDescent="0.3">
      <c r="A31" s="5"/>
      <c r="B31" s="3" t="s">
        <v>47</v>
      </c>
      <c r="C31" s="2">
        <v>0</v>
      </c>
      <c r="D31" s="2">
        <v>0</v>
      </c>
      <c r="E31" s="2">
        <v>3.5576923076923077E-3</v>
      </c>
      <c r="F31" s="2">
        <v>0</v>
      </c>
      <c r="G31" s="2">
        <v>3.7499999999999994E-3</v>
      </c>
      <c r="H31" s="2">
        <v>0</v>
      </c>
      <c r="I31" s="2">
        <v>0</v>
      </c>
      <c r="J31" s="2">
        <v>0</v>
      </c>
      <c r="K31" s="2">
        <v>0</v>
      </c>
      <c r="L31" s="2">
        <v>3.7499999999999994E-3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 x14ac:dyDescent="0.3">
      <c r="A32" s="5"/>
      <c r="B32" s="3" t="s">
        <v>48</v>
      </c>
      <c r="C32" s="2">
        <v>0</v>
      </c>
      <c r="D32" s="2">
        <v>6.7999999999999991E-2</v>
      </c>
      <c r="E32" s="2">
        <v>0</v>
      </c>
      <c r="F32" s="2">
        <v>5.3999999999999999E-2</v>
      </c>
      <c r="G32" s="2">
        <v>0</v>
      </c>
      <c r="H32" s="2">
        <v>4.5999999999999992E-2</v>
      </c>
      <c r="I32" s="2">
        <v>0</v>
      </c>
      <c r="J32" s="2">
        <v>0</v>
      </c>
      <c r="K32" s="2">
        <v>4.0999999999999988E-2</v>
      </c>
      <c r="L32" s="2">
        <v>0</v>
      </c>
      <c r="M32" s="2">
        <v>3.6999999999999998E-2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2.8999999999999995E-2</v>
      </c>
      <c r="W32" s="2">
        <v>0</v>
      </c>
      <c r="X32" s="2">
        <v>0</v>
      </c>
      <c r="Y32" s="2">
        <v>8.3999999999999991E-2</v>
      </c>
      <c r="Z32" s="2">
        <v>0</v>
      </c>
      <c r="AA32" s="2">
        <v>0</v>
      </c>
      <c r="AB32" s="2">
        <v>3.5999999999999997E-2</v>
      </c>
      <c r="AC32" s="2">
        <v>4.1999999999999996E-2</v>
      </c>
      <c r="AD32" s="2">
        <v>8.3999999999999991E-2</v>
      </c>
      <c r="AE32" s="2">
        <v>3.7999999999999992E-2</v>
      </c>
    </row>
    <row r="33" spans="1:31" x14ac:dyDescent="0.3">
      <c r="A33" s="4" t="s">
        <v>49</v>
      </c>
      <c r="B33" s="3" t="s">
        <v>50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5.9615384615384617E-3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x14ac:dyDescent="0.3">
      <c r="A34" s="9" t="s">
        <v>51</v>
      </c>
      <c r="B34" s="3" t="s">
        <v>52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9.4230769230769229E-2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0.22615384615384618</v>
      </c>
      <c r="Z34" s="2">
        <v>9.9615384615384633E-2</v>
      </c>
      <c r="AA34" s="2">
        <v>0</v>
      </c>
      <c r="AB34" s="2">
        <v>0</v>
      </c>
      <c r="AC34" s="2">
        <v>0.22615384615384618</v>
      </c>
      <c r="AD34" s="2">
        <v>0</v>
      </c>
      <c r="AE34" s="2">
        <v>0</v>
      </c>
    </row>
    <row r="35" spans="1:31" x14ac:dyDescent="0.3">
      <c r="A35" s="10"/>
      <c r="B35" s="3" t="s">
        <v>53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3.8076923076923071E-2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x14ac:dyDescent="0.3">
      <c r="A36" s="10"/>
      <c r="B36" s="3" t="s">
        <v>54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3.461538461538461E-2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3">
      <c r="A37" s="11"/>
      <c r="B37" s="3" t="s">
        <v>55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3.3461538461538455E-3</v>
      </c>
      <c r="W37" s="2">
        <v>0</v>
      </c>
      <c r="X37" s="2">
        <v>0</v>
      </c>
      <c r="Y37" s="2">
        <v>4.8461538461538464E-3</v>
      </c>
      <c r="Z37" s="2">
        <v>0</v>
      </c>
      <c r="AA37" s="2">
        <v>4.1538461538461538E-3</v>
      </c>
      <c r="AB37" s="2">
        <v>4.1538461538461538E-3</v>
      </c>
      <c r="AC37" s="2">
        <v>9.6923076923076928E-3</v>
      </c>
      <c r="AD37" s="2">
        <v>1.4538461538461538E-2</v>
      </c>
      <c r="AE37" s="2">
        <v>4.3846153846153835E-3</v>
      </c>
    </row>
    <row r="38" spans="1:31" x14ac:dyDescent="0.3">
      <c r="A38" s="5" t="s">
        <v>56</v>
      </c>
      <c r="B38" s="5"/>
      <c r="C38" s="2">
        <f t="shared" ref="C38:AE38" si="0">SUM(C5:C37)</f>
        <v>9.7307692307692297E-4</v>
      </c>
      <c r="D38" s="2">
        <f t="shared" si="0"/>
        <v>6.8156923076923073E-2</v>
      </c>
      <c r="E38" s="2">
        <f t="shared" si="0"/>
        <v>3.8707692307692306E-3</v>
      </c>
      <c r="F38" s="2">
        <f t="shared" si="0"/>
        <v>5.5445538461538463E-2</v>
      </c>
      <c r="G38" s="2">
        <f t="shared" si="0"/>
        <v>3.9299999999999995E-3</v>
      </c>
      <c r="H38" s="2">
        <f t="shared" si="0"/>
        <v>4.6530769230769223E-2</v>
      </c>
      <c r="I38" s="2">
        <f t="shared" si="0"/>
        <v>1.8415384615384617E-3</v>
      </c>
      <c r="J38" s="2">
        <f t="shared" si="0"/>
        <v>3.3299999999999996E-3</v>
      </c>
      <c r="K38" s="2">
        <f t="shared" si="0"/>
        <v>4.2166923076923067E-2</v>
      </c>
      <c r="L38" s="2">
        <f t="shared" si="0"/>
        <v>4.3199999999999992E-3</v>
      </c>
      <c r="M38" s="2">
        <f t="shared" si="0"/>
        <v>3.7256153846153842E-2</v>
      </c>
      <c r="N38" s="2">
        <f t="shared" si="0"/>
        <v>1.2600000000000001E-3</v>
      </c>
      <c r="O38" s="2">
        <f t="shared" si="0"/>
        <v>2.5846153846153846E-4</v>
      </c>
      <c r="P38" s="2">
        <f t="shared" si="0"/>
        <v>9.4446153846153846E-2</v>
      </c>
      <c r="Q38" s="2">
        <f t="shared" si="0"/>
        <v>2.0838461538461536E-3</v>
      </c>
      <c r="R38" s="2">
        <f t="shared" si="0"/>
        <v>6.8676923076923082E-3</v>
      </c>
      <c r="S38" s="2">
        <f t="shared" si="0"/>
        <v>7.3834615384615374E-2</v>
      </c>
      <c r="T38" s="2">
        <f t="shared" si="0"/>
        <v>1.0799999999999998E-3</v>
      </c>
      <c r="U38" s="2">
        <f t="shared" si="0"/>
        <v>1.4884615384615383E-3</v>
      </c>
      <c r="V38" s="2">
        <f t="shared" si="0"/>
        <v>3.4130769230769221E-2</v>
      </c>
      <c r="W38" s="2">
        <f t="shared" si="0"/>
        <v>3.8923076923076921E-4</v>
      </c>
      <c r="X38" s="2">
        <f t="shared" si="0"/>
        <v>4.6499999999999997E-4</v>
      </c>
      <c r="Y38" s="2">
        <f t="shared" si="0"/>
        <v>0.31532307692307693</v>
      </c>
      <c r="Z38" s="2">
        <f t="shared" si="0"/>
        <v>0.10012769230769232</v>
      </c>
      <c r="AA38" s="2">
        <f t="shared" si="0"/>
        <v>6.3692307692307694E-3</v>
      </c>
      <c r="AB38" s="2">
        <f t="shared" si="0"/>
        <v>4.0984615384615383E-2</v>
      </c>
      <c r="AC38" s="2">
        <f t="shared" si="0"/>
        <v>0.28036615384615382</v>
      </c>
      <c r="AD38" s="2">
        <f t="shared" si="0"/>
        <v>9.9830769230769223E-2</v>
      </c>
      <c r="AE38" s="2">
        <f t="shared" si="0"/>
        <v>4.4196923076923064E-2</v>
      </c>
    </row>
  </sheetData>
  <mergeCells count="7">
    <mergeCell ref="A38:B38"/>
    <mergeCell ref="A1:B2"/>
    <mergeCell ref="A3:B3"/>
    <mergeCell ref="A4:B4"/>
    <mergeCell ref="A5:A23"/>
    <mergeCell ref="A24:A32"/>
    <mergeCell ref="A34:A3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B697-14D0-4E0A-810F-D3655D1B4ECA}">
  <dimension ref="A1:AE38"/>
  <sheetViews>
    <sheetView workbookViewId="0">
      <selection activeCell="G51" sqref="G51"/>
    </sheetView>
  </sheetViews>
  <sheetFormatPr defaultRowHeight="14" x14ac:dyDescent="0.3"/>
  <cols>
    <col min="1" max="1" width="14.83203125" customWidth="1"/>
    <col min="2" max="2" width="28.9140625" customWidth="1"/>
  </cols>
  <sheetData>
    <row r="1" spans="1:31" x14ac:dyDescent="0.3">
      <c r="A1" s="6" t="s">
        <v>58</v>
      </c>
      <c r="B1" s="6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6"/>
      <c r="B2" s="6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7" t="s">
        <v>0</v>
      </c>
      <c r="B3" s="7"/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>
        <v>1</v>
      </c>
      <c r="I3" s="2">
        <v>2</v>
      </c>
      <c r="J3" s="2">
        <v>3</v>
      </c>
      <c r="K3" s="2">
        <v>4</v>
      </c>
      <c r="L3" s="2">
        <v>5</v>
      </c>
      <c r="M3" s="2">
        <v>6</v>
      </c>
      <c r="N3" s="2">
        <v>7</v>
      </c>
      <c r="O3" s="2">
        <v>8</v>
      </c>
      <c r="P3" s="2">
        <v>9</v>
      </c>
      <c r="Q3" s="2">
        <v>10</v>
      </c>
      <c r="R3" s="2">
        <v>11</v>
      </c>
      <c r="S3" s="2">
        <v>12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11</v>
      </c>
      <c r="Z3" s="2" t="s">
        <v>12</v>
      </c>
      <c r="AA3" s="2" t="s">
        <v>13</v>
      </c>
      <c r="AB3" s="2" t="s">
        <v>14</v>
      </c>
      <c r="AC3" s="2" t="s">
        <v>15</v>
      </c>
      <c r="AD3" s="2" t="s">
        <v>16</v>
      </c>
      <c r="AE3" s="2" t="s">
        <v>17</v>
      </c>
    </row>
    <row r="4" spans="1:31" x14ac:dyDescent="0.3">
      <c r="A4" s="8" t="s">
        <v>18</v>
      </c>
      <c r="B4" s="7"/>
      <c r="C4" s="2">
        <v>23</v>
      </c>
      <c r="D4" s="2">
        <v>34</v>
      </c>
      <c r="E4" s="2">
        <v>37</v>
      </c>
      <c r="F4" s="2">
        <v>54</v>
      </c>
      <c r="G4" s="2">
        <v>39</v>
      </c>
      <c r="H4" s="2">
        <v>46</v>
      </c>
      <c r="I4" s="2">
        <v>42</v>
      </c>
      <c r="J4" s="2">
        <v>39</v>
      </c>
      <c r="K4" s="2">
        <v>41</v>
      </c>
      <c r="L4" s="2">
        <v>39</v>
      </c>
      <c r="M4" s="2">
        <v>37</v>
      </c>
      <c r="N4" s="2">
        <v>42</v>
      </c>
      <c r="O4" s="2">
        <v>42</v>
      </c>
      <c r="P4" s="2">
        <v>35</v>
      </c>
      <c r="Q4" s="2">
        <v>43</v>
      </c>
      <c r="R4" s="2">
        <v>31</v>
      </c>
      <c r="S4" s="2">
        <v>45</v>
      </c>
      <c r="T4" s="2">
        <v>39</v>
      </c>
      <c r="U4" s="2">
        <v>45</v>
      </c>
      <c r="V4" s="2">
        <v>29</v>
      </c>
      <c r="W4" s="2">
        <v>46</v>
      </c>
      <c r="X4" s="2">
        <v>39</v>
      </c>
      <c r="Y4" s="2">
        <v>42</v>
      </c>
      <c r="Z4" s="2">
        <v>37</v>
      </c>
      <c r="AA4" s="2">
        <v>36</v>
      </c>
      <c r="AB4" s="2">
        <v>36</v>
      </c>
      <c r="AC4" s="2">
        <v>42</v>
      </c>
      <c r="AD4" s="2">
        <v>42</v>
      </c>
      <c r="AE4" s="2">
        <v>38</v>
      </c>
    </row>
    <row r="5" spans="1:31" x14ac:dyDescent="0.3">
      <c r="A5" s="5" t="s">
        <v>19</v>
      </c>
      <c r="B5" s="3" t="s">
        <v>20</v>
      </c>
      <c r="C5" s="2">
        <v>0</v>
      </c>
      <c r="D5" s="2">
        <v>0.34657359027997264</v>
      </c>
      <c r="E5" s="2">
        <v>0.36477864056412496</v>
      </c>
      <c r="F5" s="2">
        <v>0.24413606414846883</v>
      </c>
      <c r="G5" s="2">
        <v>0.35793227671296229</v>
      </c>
      <c r="H5" s="2">
        <v>0.36348462806427528</v>
      </c>
      <c r="I5" s="2">
        <v>0.27798716415075903</v>
      </c>
      <c r="J5" s="2">
        <v>0.36785487697399272</v>
      </c>
      <c r="K5" s="2">
        <v>0.27798716415075903</v>
      </c>
      <c r="L5" s="2">
        <v>0.34657359027997264</v>
      </c>
      <c r="M5" s="2">
        <v>0.32188758248682009</v>
      </c>
      <c r="N5" s="2">
        <v>0.35246822399528521</v>
      </c>
      <c r="O5" s="2">
        <v>0.34657359027997264</v>
      </c>
      <c r="P5" s="2">
        <v>0.32654814716784386</v>
      </c>
      <c r="Q5" s="2">
        <v>0.36266307579742962</v>
      </c>
      <c r="R5" s="2">
        <v>0.36062835238660523</v>
      </c>
      <c r="S5" s="2">
        <v>0.34923175306796422</v>
      </c>
      <c r="T5" s="2">
        <v>0.34657359027997264</v>
      </c>
      <c r="U5" s="2">
        <v>0.32188758248682009</v>
      </c>
      <c r="V5" s="2">
        <v>0.25993019270997947</v>
      </c>
      <c r="W5" s="2">
        <v>0.35838970925648644</v>
      </c>
      <c r="X5" s="2">
        <v>0.36772122042184219</v>
      </c>
      <c r="Y5" s="2">
        <v>0.26865373607230197</v>
      </c>
      <c r="Z5" s="2">
        <v>0.36312765445165868</v>
      </c>
      <c r="AA5" s="2">
        <v>0</v>
      </c>
      <c r="AB5" s="2">
        <v>0.36781096987939732</v>
      </c>
      <c r="AC5" s="2">
        <v>0.18850409497251847</v>
      </c>
      <c r="AD5" s="2">
        <v>0.23025850929940456</v>
      </c>
      <c r="AE5" s="2">
        <v>0.18850409497251847</v>
      </c>
    </row>
    <row r="6" spans="1:31" x14ac:dyDescent="0.3">
      <c r="A6" s="5"/>
      <c r="B6" s="3" t="s">
        <v>21</v>
      </c>
      <c r="C6" s="2">
        <v>0.35793227671296229</v>
      </c>
      <c r="D6" s="2">
        <v>0.36781096987939732</v>
      </c>
      <c r="E6" s="2">
        <v>0.29862657820467581</v>
      </c>
      <c r="F6" s="2">
        <v>0.33423942150583869</v>
      </c>
      <c r="G6" s="2">
        <v>0.27798716415075903</v>
      </c>
      <c r="H6" s="2">
        <v>0.34657359027997264</v>
      </c>
      <c r="I6" s="2">
        <v>0.27798716415075903</v>
      </c>
      <c r="J6" s="2">
        <v>0.21799047934530644</v>
      </c>
      <c r="K6" s="2">
        <v>0.27798716415075903</v>
      </c>
      <c r="L6" s="2">
        <v>0.23025850929940456</v>
      </c>
      <c r="M6" s="2">
        <v>0.32188758248682009</v>
      </c>
      <c r="N6" s="2">
        <v>0.32188758248682009</v>
      </c>
      <c r="O6" s="2">
        <v>0.34657359027997264</v>
      </c>
      <c r="P6" s="2">
        <v>0.24413606414846883</v>
      </c>
      <c r="Q6" s="2">
        <v>0.33838547741386776</v>
      </c>
      <c r="R6" s="2">
        <v>0.36750246533445785</v>
      </c>
      <c r="S6" s="2">
        <v>0.36700848401191316</v>
      </c>
      <c r="T6" s="2">
        <v>0.29862657820467581</v>
      </c>
      <c r="U6" s="2">
        <v>0.36119184129778081</v>
      </c>
      <c r="V6" s="2">
        <v>0.25993019270997947</v>
      </c>
      <c r="W6" s="2">
        <v>0.30995419858880463</v>
      </c>
      <c r="X6" s="2">
        <v>0.3300953659172462</v>
      </c>
      <c r="Y6" s="2">
        <v>0.32188758248682009</v>
      </c>
      <c r="Z6" s="2">
        <v>0.27798716415075903</v>
      </c>
      <c r="AA6" s="2">
        <v>0.35793227671296229</v>
      </c>
      <c r="AB6" s="2">
        <v>0.25993019270997947</v>
      </c>
      <c r="AC6" s="2">
        <v>0.3300953659172462</v>
      </c>
      <c r="AD6" s="2">
        <v>0.23025850929940456</v>
      </c>
      <c r="AE6" s="2">
        <v>0.3300953659172462</v>
      </c>
    </row>
    <row r="7" spans="1:31" x14ac:dyDescent="0.3">
      <c r="A7" s="5"/>
      <c r="B7" s="3" t="s">
        <v>22</v>
      </c>
      <c r="C7" s="2">
        <v>0</v>
      </c>
      <c r="D7" s="2">
        <v>0.25993019270997947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0.21799047934530644</v>
      </c>
      <c r="K7" s="2">
        <v>0</v>
      </c>
      <c r="L7" s="2">
        <v>0</v>
      </c>
      <c r="M7" s="2">
        <v>0.23025850929940456</v>
      </c>
      <c r="N7" s="2">
        <v>0</v>
      </c>
      <c r="O7" s="2">
        <v>0.25993019270997947</v>
      </c>
      <c r="P7" s="2">
        <v>0</v>
      </c>
      <c r="Q7" s="2">
        <v>0</v>
      </c>
      <c r="R7" s="2">
        <v>0</v>
      </c>
      <c r="S7" s="2">
        <v>0.16355433605311248</v>
      </c>
      <c r="T7" s="2">
        <v>0</v>
      </c>
      <c r="U7" s="2">
        <v>0</v>
      </c>
      <c r="V7" s="2">
        <v>0</v>
      </c>
      <c r="W7" s="2">
        <v>0.30995419858880463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</row>
    <row r="8" spans="1:31" x14ac:dyDescent="0.3">
      <c r="A8" s="5"/>
      <c r="B8" s="3" t="s">
        <v>23</v>
      </c>
      <c r="C8" s="2">
        <v>0.35793227671296229</v>
      </c>
      <c r="D8" s="2">
        <v>0</v>
      </c>
      <c r="E8" s="2">
        <v>0.20707555414900003</v>
      </c>
      <c r="F8" s="2">
        <v>0</v>
      </c>
      <c r="G8" s="2">
        <v>0</v>
      </c>
      <c r="H8" s="2">
        <v>0.25993019270997947</v>
      </c>
      <c r="I8" s="2">
        <v>0</v>
      </c>
      <c r="J8" s="2">
        <v>0</v>
      </c>
      <c r="K8" s="2">
        <v>0</v>
      </c>
      <c r="L8" s="2">
        <v>0.23025850929940456</v>
      </c>
      <c r="M8" s="2">
        <v>0.23025850929940456</v>
      </c>
      <c r="N8" s="2">
        <v>0</v>
      </c>
      <c r="O8" s="2">
        <v>0</v>
      </c>
      <c r="P8" s="2">
        <v>0</v>
      </c>
      <c r="Q8" s="2">
        <v>0.19730379672781054</v>
      </c>
      <c r="R8" s="2">
        <v>0</v>
      </c>
      <c r="S8" s="2">
        <v>0.10158137318541181</v>
      </c>
      <c r="T8" s="2">
        <v>0</v>
      </c>
      <c r="U8" s="2">
        <v>0.23025850929940456</v>
      </c>
      <c r="V8" s="2">
        <v>0</v>
      </c>
      <c r="W8" s="2">
        <v>0.21799047934530644</v>
      </c>
      <c r="X8" s="2">
        <v>0.27798716415075903</v>
      </c>
      <c r="Y8" s="2">
        <v>0</v>
      </c>
      <c r="Z8" s="2">
        <v>0.18850409497251847</v>
      </c>
      <c r="AA8" s="2">
        <v>0</v>
      </c>
      <c r="AB8" s="2">
        <v>0</v>
      </c>
      <c r="AC8" s="2">
        <v>0.18850409497251847</v>
      </c>
      <c r="AD8" s="2">
        <v>0</v>
      </c>
      <c r="AE8" s="2">
        <v>0</v>
      </c>
    </row>
    <row r="9" spans="1:31" x14ac:dyDescent="0.3">
      <c r="A9" s="5"/>
      <c r="B9" s="3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0.17328679513998632</v>
      </c>
      <c r="I9" s="2">
        <v>0.27798716415075903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0.19730379672781054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 x14ac:dyDescent="0.3">
      <c r="A10" s="5"/>
      <c r="B10" s="3" t="s">
        <v>25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0.18850409497251847</v>
      </c>
      <c r="L10" s="2">
        <v>0</v>
      </c>
      <c r="M10" s="2">
        <v>0</v>
      </c>
      <c r="N10" s="2">
        <v>0</v>
      </c>
      <c r="O10" s="2">
        <v>0</v>
      </c>
      <c r="P10" s="2">
        <v>0.24413606414846883</v>
      </c>
      <c r="Q10" s="2">
        <v>0</v>
      </c>
      <c r="R10" s="2">
        <v>0.20370045599806338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0.18053668007348067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0.27798716415075903</v>
      </c>
    </row>
    <row r="11" spans="1:31" x14ac:dyDescent="0.3">
      <c r="A11" s="5"/>
      <c r="B11" s="3" t="s">
        <v>26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0.17328679513998632</v>
      </c>
      <c r="I11" s="2">
        <v>0</v>
      </c>
      <c r="J11" s="2">
        <v>0</v>
      </c>
      <c r="K11" s="2">
        <v>0</v>
      </c>
      <c r="L11" s="2">
        <v>0.23025850929940456</v>
      </c>
      <c r="M11" s="2">
        <v>0.32188758248682009</v>
      </c>
      <c r="N11" s="2">
        <v>0.26865373607230197</v>
      </c>
      <c r="O11" s="2">
        <v>0</v>
      </c>
      <c r="P11" s="2">
        <v>0</v>
      </c>
      <c r="Q11" s="2">
        <v>0.19730379672781054</v>
      </c>
      <c r="R11" s="2">
        <v>0.15771733686942049</v>
      </c>
      <c r="S11" s="2">
        <v>0.16355433605311248</v>
      </c>
      <c r="T11" s="2">
        <v>0.34657359027997264</v>
      </c>
      <c r="U11" s="2">
        <v>0</v>
      </c>
      <c r="V11" s="2">
        <v>0</v>
      </c>
      <c r="W11" s="2">
        <v>0</v>
      </c>
      <c r="X11" s="2">
        <v>0</v>
      </c>
      <c r="Y11" s="2">
        <v>0.26865373607230197</v>
      </c>
      <c r="Z11" s="2">
        <v>0.18850409497251847</v>
      </c>
      <c r="AA11" s="2">
        <v>0.27798716415075903</v>
      </c>
      <c r="AB11" s="2">
        <v>0.25993019270997947</v>
      </c>
      <c r="AC11" s="2">
        <v>0.18850409497251847</v>
      </c>
      <c r="AD11" s="2">
        <v>0</v>
      </c>
      <c r="AE11" s="2">
        <v>0.3300953659172462</v>
      </c>
    </row>
    <row r="12" spans="1:31" x14ac:dyDescent="0.3">
      <c r="A12" s="5"/>
      <c r="B12" s="3" t="s">
        <v>27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0.18850409497251847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 x14ac:dyDescent="0.3">
      <c r="A13" s="5"/>
      <c r="B13" s="3" t="s">
        <v>28</v>
      </c>
      <c r="C13" s="2">
        <v>0.27798716415075903</v>
      </c>
      <c r="D13" s="2">
        <v>0</v>
      </c>
      <c r="E13" s="2">
        <v>0.29862657820467581</v>
      </c>
      <c r="F13" s="2">
        <v>0.24413606414846883</v>
      </c>
      <c r="G13" s="2">
        <v>0.35793227671296229</v>
      </c>
      <c r="H13" s="2">
        <v>0.25993019270997947</v>
      </c>
      <c r="I13" s="2">
        <v>0.27798716415075903</v>
      </c>
      <c r="J13" s="2">
        <v>0.21799047934530644</v>
      </c>
      <c r="K13" s="2">
        <v>0.35793227671296229</v>
      </c>
      <c r="L13" s="2">
        <v>0.32188758248682009</v>
      </c>
      <c r="M13" s="2">
        <v>0.23025850929940456</v>
      </c>
      <c r="N13" s="2">
        <v>0.32188758248682009</v>
      </c>
      <c r="O13" s="2">
        <v>0</v>
      </c>
      <c r="P13" s="2">
        <v>0.24413606414846883</v>
      </c>
      <c r="Q13" s="2">
        <v>0</v>
      </c>
      <c r="R13" s="2">
        <v>0.15771733686942049</v>
      </c>
      <c r="S13" s="2">
        <v>0.16355433605311248</v>
      </c>
      <c r="T13" s="2">
        <v>0</v>
      </c>
      <c r="U13" s="2">
        <v>0</v>
      </c>
      <c r="V13" s="2">
        <v>0.34657359027997264</v>
      </c>
      <c r="W13" s="2">
        <v>0.21799047934530644</v>
      </c>
      <c r="X13" s="2">
        <v>0.18850409497251847</v>
      </c>
      <c r="Y13" s="2">
        <v>0.18053668007348067</v>
      </c>
      <c r="Z13" s="2">
        <v>0.18850409497251847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</row>
    <row r="14" spans="1:31" x14ac:dyDescent="0.3">
      <c r="A14" s="5"/>
      <c r="B14" s="3" t="s">
        <v>29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0.23025850929940456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 x14ac:dyDescent="0.3">
      <c r="A15" s="5"/>
      <c r="B15" s="3" t="s">
        <v>30</v>
      </c>
      <c r="C15" s="2">
        <v>0</v>
      </c>
      <c r="D15" s="2">
        <v>0</v>
      </c>
      <c r="E15" s="2">
        <v>0.20707555414900003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0.27798716415075903</v>
      </c>
      <c r="L15" s="2">
        <v>0.23025850929940456</v>
      </c>
      <c r="M15" s="2">
        <v>0</v>
      </c>
      <c r="N15" s="2">
        <v>0.18053668007348067</v>
      </c>
      <c r="O15" s="2">
        <v>0.25993019270997947</v>
      </c>
      <c r="P15" s="2">
        <v>0</v>
      </c>
      <c r="Q15" s="2">
        <v>0.19730379672781054</v>
      </c>
      <c r="R15" s="2">
        <v>9.759237601741147E-2</v>
      </c>
      <c r="S15" s="2">
        <v>0.16355433605311248</v>
      </c>
      <c r="T15" s="2">
        <v>0</v>
      </c>
      <c r="U15" s="2">
        <v>0.23025850929940456</v>
      </c>
      <c r="V15" s="2">
        <v>0</v>
      </c>
      <c r="W15" s="2">
        <v>0</v>
      </c>
      <c r="X15" s="2">
        <v>0</v>
      </c>
      <c r="Y15" s="2">
        <v>0</v>
      </c>
      <c r="Z15" s="2">
        <v>0.18850409497251847</v>
      </c>
      <c r="AA15" s="2">
        <v>0.27798716415075903</v>
      </c>
      <c r="AB15" s="2">
        <v>0</v>
      </c>
      <c r="AC15" s="2">
        <v>0.18850409497251847</v>
      </c>
      <c r="AD15" s="2">
        <v>0</v>
      </c>
      <c r="AE15" s="2">
        <v>0.27798716415075903</v>
      </c>
    </row>
    <row r="16" spans="1:31" x14ac:dyDescent="0.3">
      <c r="A16" s="5"/>
      <c r="B16" s="3" t="s">
        <v>31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0.18053668007348067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 x14ac:dyDescent="0.3">
      <c r="A17" s="5"/>
      <c r="B17" s="3" t="s">
        <v>32</v>
      </c>
      <c r="C17" s="2">
        <v>0</v>
      </c>
      <c r="D17" s="2">
        <v>0</v>
      </c>
      <c r="E17" s="2">
        <v>0</v>
      </c>
      <c r="F17" s="2">
        <v>0.24413606414846883</v>
      </c>
      <c r="G17" s="2">
        <v>0.27798716415075903</v>
      </c>
      <c r="H17" s="2">
        <v>0</v>
      </c>
      <c r="I17" s="2">
        <v>0.35793227671296229</v>
      </c>
      <c r="J17" s="2">
        <v>0</v>
      </c>
      <c r="K17" s="2">
        <v>0.18850409497251847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0.15771733686942049</v>
      </c>
      <c r="S17" s="2">
        <v>0.21057735195611177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 spans="1:31" x14ac:dyDescent="0.3">
      <c r="A18" s="5"/>
      <c r="B18" s="3" t="s">
        <v>33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0.23025850929940456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</row>
    <row r="19" spans="1:31" x14ac:dyDescent="0.3">
      <c r="A19" s="5"/>
      <c r="B19" s="3" t="s">
        <v>34</v>
      </c>
      <c r="C19" s="2">
        <v>0.35793227671296229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0.18053668007348067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0.20707555414900003</v>
      </c>
      <c r="U19" s="2">
        <v>0</v>
      </c>
      <c r="V19" s="2">
        <v>0.25993019270997947</v>
      </c>
      <c r="W19" s="2">
        <v>0</v>
      </c>
      <c r="X19" s="2">
        <v>0</v>
      </c>
      <c r="Y19" s="2">
        <v>0</v>
      </c>
      <c r="Z19" s="2">
        <v>0</v>
      </c>
      <c r="AA19" s="2">
        <v>0.27798716415075903</v>
      </c>
      <c r="AB19" s="2">
        <v>0</v>
      </c>
      <c r="AC19" s="2">
        <v>0</v>
      </c>
      <c r="AD19" s="2">
        <v>0.23025850929940456</v>
      </c>
      <c r="AE19" s="2">
        <v>0</v>
      </c>
    </row>
    <row r="20" spans="1:31" x14ac:dyDescent="0.3">
      <c r="A20" s="5"/>
      <c r="B20" s="3" t="s">
        <v>35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0.18850409497251847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</row>
    <row r="21" spans="1:31" x14ac:dyDescent="0.3">
      <c r="A21" s="5"/>
      <c r="B21" s="3" t="s">
        <v>36</v>
      </c>
      <c r="C21" s="2">
        <v>0</v>
      </c>
      <c r="D21" s="2">
        <v>0</v>
      </c>
      <c r="E21" s="2">
        <v>0</v>
      </c>
      <c r="F21" s="2">
        <v>0.24413606414846883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0.23025850929940456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0.25993019270997947</v>
      </c>
      <c r="AC21" s="2">
        <v>0</v>
      </c>
      <c r="AD21" s="2">
        <v>0</v>
      </c>
      <c r="AE21" s="2">
        <v>0</v>
      </c>
    </row>
    <row r="22" spans="1:31" x14ac:dyDescent="0.3">
      <c r="A22" s="5"/>
      <c r="B22" s="3" t="s">
        <v>37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0.30995419858880463</v>
      </c>
      <c r="K22" s="2">
        <v>0</v>
      </c>
      <c r="L22" s="2">
        <v>0</v>
      </c>
      <c r="M22" s="2">
        <v>0</v>
      </c>
      <c r="N22" s="2">
        <v>0.18053668007348067</v>
      </c>
      <c r="O22" s="2">
        <v>0</v>
      </c>
      <c r="P22" s="2">
        <v>0</v>
      </c>
      <c r="Q22" s="2">
        <v>0.19730379672781054</v>
      </c>
      <c r="R22" s="2">
        <v>9.759237601741147E-2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0.27798716415075903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</row>
    <row r="23" spans="1:31" x14ac:dyDescent="0.3">
      <c r="A23" s="5"/>
      <c r="B23" s="3" t="s">
        <v>38</v>
      </c>
      <c r="C23" s="2">
        <v>0</v>
      </c>
      <c r="D23" s="2">
        <v>0</v>
      </c>
      <c r="E23" s="2">
        <v>0</v>
      </c>
      <c r="F23" s="2">
        <v>0.24413606414846883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</row>
    <row r="24" spans="1:31" x14ac:dyDescent="0.3">
      <c r="A24" s="5" t="s">
        <v>39</v>
      </c>
      <c r="B24" s="3" t="s">
        <v>40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0.18850409497251847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</row>
    <row r="25" spans="1:31" x14ac:dyDescent="0.3">
      <c r="A25" s="5"/>
      <c r="B25" s="3" t="s">
        <v>41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0.27798716415075903</v>
      </c>
      <c r="J25" s="2">
        <v>0.30995419858880463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0.19730379672781054</v>
      </c>
      <c r="R25" s="2">
        <v>0</v>
      </c>
      <c r="S25" s="2">
        <v>0</v>
      </c>
      <c r="T25" s="2">
        <v>0</v>
      </c>
      <c r="U25" s="2">
        <v>0</v>
      </c>
      <c r="V25" s="2">
        <v>0.25993019270997947</v>
      </c>
      <c r="W25" s="2">
        <v>0</v>
      </c>
      <c r="X25" s="2">
        <v>0</v>
      </c>
      <c r="Y25" s="2">
        <v>0</v>
      </c>
      <c r="Z25" s="2">
        <v>0</v>
      </c>
      <c r="AA25" s="2">
        <v>0.27798716415075903</v>
      </c>
      <c r="AB25" s="2">
        <v>0</v>
      </c>
      <c r="AC25" s="2">
        <v>0.18850409497251847</v>
      </c>
      <c r="AD25" s="2">
        <v>0</v>
      </c>
      <c r="AE25" s="2">
        <v>0.18850409497251847</v>
      </c>
    </row>
    <row r="26" spans="1:31" x14ac:dyDescent="0.3">
      <c r="A26" s="5"/>
      <c r="B26" s="3" t="s">
        <v>42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0.23025850929940456</v>
      </c>
      <c r="AE26" s="2">
        <v>0</v>
      </c>
    </row>
    <row r="27" spans="1:31" x14ac:dyDescent="0.3">
      <c r="A27" s="5"/>
      <c r="B27" s="3" t="s">
        <v>43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0.23025850929940456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</row>
    <row r="28" spans="1:31" x14ac:dyDescent="0.3">
      <c r="A28" s="5"/>
      <c r="B28" s="3" t="s">
        <v>44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0.18850409497251847</v>
      </c>
      <c r="AD28" s="2">
        <v>0</v>
      </c>
      <c r="AE28" s="2">
        <v>0</v>
      </c>
    </row>
    <row r="29" spans="1:31" x14ac:dyDescent="0.3">
      <c r="A29" s="5"/>
      <c r="B29" s="3" t="s">
        <v>45</v>
      </c>
      <c r="C29" s="2">
        <v>0</v>
      </c>
      <c r="D29" s="2">
        <v>0</v>
      </c>
      <c r="E29" s="2">
        <v>0</v>
      </c>
      <c r="F29" s="2">
        <v>0.24413606414846883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9.759237601741147E-2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 x14ac:dyDescent="0.3">
      <c r="A30" s="5"/>
      <c r="B30" s="3" t="s">
        <v>46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0.23025850929940456</v>
      </c>
      <c r="AE30" s="2">
        <v>0</v>
      </c>
    </row>
    <row r="31" spans="1:31" x14ac:dyDescent="0.3">
      <c r="A31" s="5"/>
      <c r="B31" s="3" t="s">
        <v>47</v>
      </c>
      <c r="C31" s="2">
        <v>0</v>
      </c>
      <c r="D31" s="2">
        <v>0</v>
      </c>
      <c r="E31" s="2">
        <v>0.20707555414900003</v>
      </c>
      <c r="F31" s="2">
        <v>0</v>
      </c>
      <c r="G31" s="2">
        <v>0.27798716415075903</v>
      </c>
      <c r="H31" s="2">
        <v>0</v>
      </c>
      <c r="I31" s="2">
        <v>0</v>
      </c>
      <c r="J31" s="2">
        <v>0</v>
      </c>
      <c r="K31" s="2">
        <v>0</v>
      </c>
      <c r="L31" s="2">
        <v>0.14978661367769955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</row>
    <row r="32" spans="1:31" x14ac:dyDescent="0.3">
      <c r="A32" s="5"/>
      <c r="B32" s="3" t="s">
        <v>48</v>
      </c>
      <c r="C32" s="2">
        <v>0</v>
      </c>
      <c r="D32" s="2">
        <v>0.34657359027997264</v>
      </c>
      <c r="E32" s="2">
        <v>0</v>
      </c>
      <c r="F32" s="2">
        <v>0.24413606414846883</v>
      </c>
      <c r="G32" s="2">
        <v>0</v>
      </c>
      <c r="H32" s="2">
        <v>0.17328679513998632</v>
      </c>
      <c r="I32" s="2">
        <v>0</v>
      </c>
      <c r="J32" s="2">
        <v>0</v>
      </c>
      <c r="K32" s="2">
        <v>0.18850409497251847</v>
      </c>
      <c r="L32" s="2">
        <v>0</v>
      </c>
      <c r="M32" s="2">
        <v>0.23025850929940456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0.25993019270997947</v>
      </c>
      <c r="W32" s="2">
        <v>0</v>
      </c>
      <c r="X32" s="2">
        <v>0</v>
      </c>
      <c r="Y32" s="2">
        <v>0.26865373607230197</v>
      </c>
      <c r="Z32" s="2">
        <v>0</v>
      </c>
      <c r="AA32" s="2">
        <v>0</v>
      </c>
      <c r="AB32" s="2">
        <v>0.25993019270997947</v>
      </c>
      <c r="AC32" s="2">
        <v>0.18850409497251847</v>
      </c>
      <c r="AD32" s="2">
        <v>0.32188758248682009</v>
      </c>
      <c r="AE32" s="2">
        <v>0.18850409497251847</v>
      </c>
    </row>
    <row r="33" spans="1:31" x14ac:dyDescent="0.3">
      <c r="A33" s="4" t="s">
        <v>49</v>
      </c>
      <c r="B33" s="3" t="s">
        <v>50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9.759237601741147E-2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</row>
    <row r="34" spans="1:31" x14ac:dyDescent="0.3">
      <c r="A34" s="9" t="s">
        <v>51</v>
      </c>
      <c r="B34" s="3" t="s">
        <v>52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0.24413606414846883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0.26865373607230197</v>
      </c>
      <c r="Z34" s="2">
        <v>0.18850409497251847</v>
      </c>
      <c r="AA34" s="2">
        <v>0</v>
      </c>
      <c r="AB34" s="2">
        <v>0</v>
      </c>
      <c r="AC34" s="2">
        <v>0.27798716415075903</v>
      </c>
      <c r="AD34" s="2">
        <v>0</v>
      </c>
      <c r="AE34" s="2">
        <v>0</v>
      </c>
    </row>
    <row r="35" spans="1:31" x14ac:dyDescent="0.3">
      <c r="A35" s="10"/>
      <c r="B35" s="3" t="s">
        <v>53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0.10158137318541181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</row>
    <row r="36" spans="1:31" x14ac:dyDescent="0.3">
      <c r="A36" s="10"/>
      <c r="B36" s="3" t="s">
        <v>54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0.10158137318541181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</row>
    <row r="37" spans="1:31" x14ac:dyDescent="0.3">
      <c r="A37" s="11"/>
      <c r="B37" s="3" t="s">
        <v>55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0.25993019270997947</v>
      </c>
      <c r="W37" s="2">
        <v>0</v>
      </c>
      <c r="X37" s="2">
        <v>0</v>
      </c>
      <c r="Y37" s="2">
        <v>0.18053668007348067</v>
      </c>
      <c r="Z37" s="2">
        <v>0</v>
      </c>
      <c r="AA37" s="2">
        <v>0.27798716415075903</v>
      </c>
      <c r="AB37" s="2">
        <v>0.25993019270997947</v>
      </c>
      <c r="AC37" s="2">
        <v>0.27798716415075903</v>
      </c>
      <c r="AD37" s="2">
        <v>0.36119184129778081</v>
      </c>
      <c r="AE37" s="2">
        <v>0.18850409497251847</v>
      </c>
    </row>
    <row r="38" spans="1:31" x14ac:dyDescent="0.3">
      <c r="A38" s="5" t="s">
        <v>56</v>
      </c>
      <c r="B38" s="5"/>
      <c r="C38" s="2">
        <f t="shared" ref="C38:AE38" si="0">SUM(C5:C37)</f>
        <v>1.3517839942896459</v>
      </c>
      <c r="D38" s="2">
        <f t="shared" si="0"/>
        <v>1.3208883431493221</v>
      </c>
      <c r="E38" s="2">
        <f t="shared" si="0"/>
        <v>1.5832584594204766</v>
      </c>
      <c r="F38" s="2">
        <f t="shared" si="0"/>
        <v>2.0431918705451206</v>
      </c>
      <c r="G38" s="2">
        <f t="shared" si="0"/>
        <v>1.5498260458782016</v>
      </c>
      <c r="H38" s="2">
        <f t="shared" si="0"/>
        <v>1.749778989184166</v>
      </c>
      <c r="I38" s="2">
        <f t="shared" si="0"/>
        <v>1.7478680974667573</v>
      </c>
      <c r="J38" s="2">
        <f t="shared" si="0"/>
        <v>1.6417347121875212</v>
      </c>
      <c r="K38" s="2">
        <f t="shared" si="0"/>
        <v>1.9459101490553132</v>
      </c>
      <c r="L38" s="2">
        <f t="shared" si="0"/>
        <v>1.9695403329415149</v>
      </c>
      <c r="M38" s="2">
        <f t="shared" si="0"/>
        <v>1.8866967846580784</v>
      </c>
      <c r="N38" s="2">
        <f t="shared" si="0"/>
        <v>1.8065071652616695</v>
      </c>
      <c r="O38" s="2">
        <f t="shared" si="0"/>
        <v>1.2130075659799042</v>
      </c>
      <c r="P38" s="2">
        <f t="shared" si="0"/>
        <v>1.3030924037617193</v>
      </c>
      <c r="Q38" s="2">
        <f t="shared" si="0"/>
        <v>1.8848713335781608</v>
      </c>
      <c r="R38" s="2">
        <f t="shared" si="0"/>
        <v>1.7953527883970342</v>
      </c>
      <c r="S38" s="2">
        <f t="shared" si="0"/>
        <v>1.8857790528046745</v>
      </c>
      <c r="T38" s="2">
        <f t="shared" si="0"/>
        <v>1.1988493129136213</v>
      </c>
      <c r="U38" s="2">
        <f t="shared" si="0"/>
        <v>1.8343719702816235</v>
      </c>
      <c r="V38" s="2">
        <f t="shared" si="0"/>
        <v>1.9061547465398496</v>
      </c>
      <c r="W38" s="2">
        <f t="shared" si="0"/>
        <v>1.4142790651247086</v>
      </c>
      <c r="X38" s="2">
        <f t="shared" si="0"/>
        <v>1.6307991045856434</v>
      </c>
      <c r="Y38" s="2">
        <f t="shared" si="0"/>
        <v>2.1186492470699507</v>
      </c>
      <c r="Z38" s="2">
        <f t="shared" si="0"/>
        <v>1.7721393884375287</v>
      </c>
      <c r="AA38" s="2">
        <f t="shared" si="0"/>
        <v>1.7478680974667573</v>
      </c>
      <c r="AB38" s="2">
        <f t="shared" si="0"/>
        <v>1.6674619334292948</v>
      </c>
      <c r="AC38" s="2">
        <f t="shared" si="0"/>
        <v>2.2055983590263937</v>
      </c>
      <c r="AD38" s="2">
        <f t="shared" si="0"/>
        <v>1.8343719702816237</v>
      </c>
      <c r="AE38" s="2">
        <f t="shared" si="0"/>
        <v>1.9701814400260842</v>
      </c>
    </row>
  </sheetData>
  <mergeCells count="7">
    <mergeCell ref="A38:B38"/>
    <mergeCell ref="A1:B2"/>
    <mergeCell ref="A3:B3"/>
    <mergeCell ref="A4:B4"/>
    <mergeCell ref="A5:A23"/>
    <mergeCell ref="A24:A32"/>
    <mergeCell ref="A34:A3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锦江栗水河金山河浮游动物计数</vt:lpstr>
      <vt:lpstr>锦江栗水河金山河浮游动物密度</vt:lpstr>
      <vt:lpstr>锦江栗水河金山河浮游动物生物量</vt:lpstr>
      <vt:lpstr>锦江栗水河金山河浮游动物多样性指数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Shan</dc:creator>
  <cp:lastModifiedBy>. Shan</cp:lastModifiedBy>
  <dcterms:created xsi:type="dcterms:W3CDTF">2025-08-05T09:48:40Z</dcterms:created>
  <dcterms:modified xsi:type="dcterms:W3CDTF">2025-08-05T13:02:59Z</dcterms:modified>
</cp:coreProperties>
</file>