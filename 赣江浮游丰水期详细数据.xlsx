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保存地\外来样品数据（含报告）\"/>
    </mc:Choice>
  </mc:AlternateContent>
  <xr:revisionPtr revIDLastSave="0" documentId="13_ncr:1_{C1C57596-F216-4AC9-A348-23C6D158EB87}" xr6:coauthVersionLast="47" xr6:coauthVersionMax="47" xr10:uidLastSave="{00000000-0000-0000-0000-000000000000}"/>
  <bookViews>
    <workbookView xWindow="-110" yWindow="-110" windowWidth="25820" windowHeight="15500" activeTab="3" xr2:uid="{0FA51CED-DDE0-4406-BDEA-C9396B46A0BF}"/>
  </bookViews>
  <sheets>
    <sheet name="赣江浮游动物计数" sheetId="1" r:id="rId1"/>
    <sheet name="赣江浮游动物密度" sheetId="2" r:id="rId2"/>
    <sheet name="赣江浮游动物生物量" sheetId="3" r:id="rId3"/>
    <sheet name="赣江浮游动物多样性指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0" i="3" l="1"/>
  <c r="T50" i="3"/>
  <c r="U50" i="3"/>
  <c r="S50" i="2"/>
  <c r="T50" i="2"/>
  <c r="U50" i="2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H50" i="2"/>
  <c r="D50" i="2"/>
  <c r="R50" i="2"/>
  <c r="Q50" i="2"/>
  <c r="P50" i="2"/>
  <c r="O50" i="2"/>
  <c r="N50" i="2"/>
  <c r="M50" i="2"/>
  <c r="L50" i="2"/>
  <c r="K50" i="2"/>
  <c r="J50" i="2"/>
  <c r="I50" i="2"/>
  <c r="G50" i="2"/>
  <c r="F50" i="2"/>
  <c r="E50" i="2"/>
  <c r="C50" i="2"/>
</calcChain>
</file>

<file path=xl/sharedStrings.xml><?xml version="1.0" encoding="utf-8"?>
<sst xmlns="http://schemas.openxmlformats.org/spreadsheetml/2006/main" count="212" uniqueCount="56">
  <si>
    <t>赣江浮游动物计数</t>
    <phoneticPr fontId="2" type="noConversion"/>
  </si>
  <si>
    <r>
      <rPr>
        <sz val="11"/>
        <color theme="1"/>
        <rFont val="宋体"/>
        <family val="3"/>
        <charset val="134"/>
      </rPr>
      <t>名称</t>
    </r>
  </si>
  <si>
    <r>
      <rPr>
        <sz val="11"/>
        <color theme="1"/>
        <rFont val="宋体"/>
        <family val="3"/>
        <charset val="134"/>
      </rPr>
      <t>浓缩体积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ml</t>
    </r>
    <r>
      <rPr>
        <sz val="11"/>
        <color theme="1"/>
        <rFont val="宋体"/>
        <family val="1"/>
        <charset val="134"/>
      </rPr>
      <t>）</t>
    </r>
    <phoneticPr fontId="2" type="noConversion"/>
  </si>
  <si>
    <t>原生动物</t>
    <phoneticPr fontId="2" type="noConversion"/>
  </si>
  <si>
    <t>褐砂壳虫</t>
    <phoneticPr fontId="2" type="noConversion"/>
  </si>
  <si>
    <t>球砂壳虫</t>
    <phoneticPr fontId="2" type="noConversion"/>
  </si>
  <si>
    <t>瓶砂壳虫</t>
    <phoneticPr fontId="8" type="noConversion"/>
  </si>
  <si>
    <t>尖顶砂壳虫</t>
    <phoneticPr fontId="8" type="noConversion"/>
  </si>
  <si>
    <t>瘤棘砂壳虫</t>
    <phoneticPr fontId="8" type="noConversion"/>
  </si>
  <si>
    <t>木兰砂壳虫</t>
    <phoneticPr fontId="8" type="noConversion"/>
  </si>
  <si>
    <t>王氏似铃壳虫</t>
    <phoneticPr fontId="2" type="noConversion"/>
  </si>
  <si>
    <t>长筒似铃壳虫</t>
    <phoneticPr fontId="2" type="noConversion"/>
  </si>
  <si>
    <t>江苏似铃壳虫</t>
    <phoneticPr fontId="2" type="noConversion"/>
  </si>
  <si>
    <t>小单环栉毛虫</t>
    <phoneticPr fontId="8" type="noConversion"/>
  </si>
  <si>
    <t>沟裸口虫</t>
    <phoneticPr fontId="2" type="noConversion"/>
  </si>
  <si>
    <t>半圆表壳虫</t>
    <phoneticPr fontId="2" type="noConversion"/>
  </si>
  <si>
    <t>弯凸表壳虫</t>
    <phoneticPr fontId="8" type="noConversion"/>
  </si>
  <si>
    <t>盘状表壳虫</t>
    <phoneticPr fontId="8" type="noConversion"/>
  </si>
  <si>
    <t>淡水麻铃虫</t>
    <phoneticPr fontId="8" type="noConversion"/>
  </si>
  <si>
    <t>敏捷半眉虫</t>
    <phoneticPr fontId="8" type="noConversion"/>
  </si>
  <si>
    <t>梨形四膜虫</t>
    <phoneticPr fontId="8" type="noConversion"/>
  </si>
  <si>
    <t>轮虫类</t>
    <phoneticPr fontId="8" type="noConversion"/>
  </si>
  <si>
    <t>橘色轮虫</t>
    <phoneticPr fontId="8" type="noConversion"/>
  </si>
  <si>
    <t>壶状臂尾轮虫</t>
    <phoneticPr fontId="8" type="noConversion"/>
  </si>
  <si>
    <t>裂足臂尾轮虫</t>
    <phoneticPr fontId="8" type="noConversion"/>
  </si>
  <si>
    <t>蒲达臂尾轮虫</t>
    <phoneticPr fontId="8" type="noConversion"/>
  </si>
  <si>
    <t>萼花臂尾轮虫</t>
    <phoneticPr fontId="8" type="noConversion"/>
  </si>
  <si>
    <t>纤巧异尾轮虫</t>
    <phoneticPr fontId="8" type="noConversion"/>
  </si>
  <si>
    <t>螺形龟甲轮虫</t>
    <phoneticPr fontId="2" type="noConversion"/>
  </si>
  <si>
    <t>独角聚花轮虫</t>
    <phoneticPr fontId="8" type="noConversion"/>
  </si>
  <si>
    <t>十指平甲轮虫</t>
    <phoneticPr fontId="8" type="noConversion"/>
  </si>
  <si>
    <t>针簇多肢轮虫</t>
    <phoneticPr fontId="8" type="noConversion"/>
  </si>
  <si>
    <t>尖爪腔轮虫</t>
    <phoneticPr fontId="8" type="noConversion"/>
  </si>
  <si>
    <t>尖角腔轮虫</t>
    <phoneticPr fontId="8" type="noConversion"/>
  </si>
  <si>
    <t>长圆刻纹腔轮虫</t>
    <phoneticPr fontId="8" type="noConversion"/>
  </si>
  <si>
    <t>晶囊轮虫</t>
    <phoneticPr fontId="2" type="noConversion"/>
  </si>
  <si>
    <t>枝角类</t>
    <phoneticPr fontId="8" type="noConversion"/>
  </si>
  <si>
    <t>长额象鼻溞</t>
    <phoneticPr fontId="8" type="noConversion"/>
  </si>
  <si>
    <t>简弧象鼻溞</t>
    <phoneticPr fontId="8" type="noConversion"/>
  </si>
  <si>
    <t>微型裸腹溞</t>
    <phoneticPr fontId="8" type="noConversion"/>
  </si>
  <si>
    <t>多刺裸腹溞</t>
    <phoneticPr fontId="8" type="noConversion"/>
  </si>
  <si>
    <t>点滴尖额溞</t>
    <phoneticPr fontId="8" type="noConversion"/>
  </si>
  <si>
    <t>光滑平直溞</t>
    <phoneticPr fontId="8" type="noConversion"/>
  </si>
  <si>
    <t>桡足类</t>
    <phoneticPr fontId="8" type="noConversion"/>
  </si>
  <si>
    <t>近邻剑水蚤</t>
    <phoneticPr fontId="8" type="noConversion"/>
  </si>
  <si>
    <t>广布中剑水蚤</t>
    <phoneticPr fontId="8" type="noConversion"/>
  </si>
  <si>
    <t>台湾温剑水蚤</t>
    <phoneticPr fontId="8" type="noConversion"/>
  </si>
  <si>
    <t>刺剑水蚤属</t>
    <phoneticPr fontId="8" type="noConversion"/>
  </si>
  <si>
    <t>透明薄皮溞</t>
    <phoneticPr fontId="8" type="noConversion"/>
  </si>
  <si>
    <t>短尾秀体溞</t>
    <phoneticPr fontId="8" type="noConversion"/>
  </si>
  <si>
    <t>特异荡镖水蚤</t>
    <phoneticPr fontId="8" type="noConversion"/>
  </si>
  <si>
    <t>无节幼虫</t>
    <phoneticPr fontId="2" type="noConversion"/>
  </si>
  <si>
    <t>总计</t>
    <phoneticPr fontId="2" type="noConversion"/>
  </si>
  <si>
    <t>赣江浮游动多样性指数</t>
    <phoneticPr fontId="2" type="noConversion"/>
  </si>
  <si>
    <t>赣江浮游动物密度（ind/L）</t>
    <phoneticPr fontId="2" type="noConversion"/>
  </si>
  <si>
    <t>赣江浮游动物生物量（mg/L）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</si>
</sst>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  <charset val="134"/>
    </font>
    <font>
      <sz val="11"/>
      <color theme="1"/>
      <name val="宋体"/>
      <family val="1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BCA2-F8EC-483E-ACB9-6504ED549475}">
  <dimension ref="A1:U50"/>
  <sheetViews>
    <sheetView workbookViewId="0">
      <selection activeCell="F40" sqref="F40"/>
    </sheetView>
  </sheetViews>
  <sheetFormatPr defaultRowHeight="14" x14ac:dyDescent="0.3"/>
  <cols>
    <col min="1" max="1" width="13.33203125" customWidth="1"/>
    <col min="2" max="2" width="23.58203125" customWidth="1"/>
  </cols>
  <sheetData>
    <row r="1" spans="1:21" x14ac:dyDescent="0.3">
      <c r="A1" s="7" t="s">
        <v>0</v>
      </c>
      <c r="B1" s="7"/>
    </row>
    <row r="2" spans="1:21" x14ac:dyDescent="0.3">
      <c r="A2" s="7"/>
      <c r="B2" s="7"/>
    </row>
    <row r="3" spans="1:21" x14ac:dyDescent="0.3">
      <c r="A3" s="8" t="s">
        <v>1</v>
      </c>
      <c r="B3" s="8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1:21" x14ac:dyDescent="0.3">
      <c r="A4" s="9" t="s">
        <v>2</v>
      </c>
      <c r="B4" s="8"/>
      <c r="C4" s="1">
        <v>46</v>
      </c>
      <c r="D4" s="1">
        <v>48</v>
      </c>
      <c r="E4" s="1">
        <v>42</v>
      </c>
      <c r="F4" s="1">
        <v>46</v>
      </c>
      <c r="G4" s="1">
        <v>47</v>
      </c>
      <c r="H4" s="1">
        <v>45</v>
      </c>
      <c r="I4" s="1">
        <v>47</v>
      </c>
      <c r="J4" s="1">
        <v>52</v>
      </c>
      <c r="K4" s="1">
        <v>44</v>
      </c>
      <c r="L4" s="1">
        <v>51</v>
      </c>
      <c r="M4" s="1">
        <v>50</v>
      </c>
      <c r="N4" s="1">
        <v>52</v>
      </c>
      <c r="O4" s="1">
        <v>51</v>
      </c>
      <c r="P4" s="1">
        <v>14</v>
      </c>
      <c r="Q4" s="1">
        <v>46</v>
      </c>
      <c r="R4" s="1">
        <v>52</v>
      </c>
      <c r="S4" s="1">
        <v>51</v>
      </c>
      <c r="T4" s="1">
        <v>44</v>
      </c>
      <c r="U4" s="1">
        <v>55</v>
      </c>
    </row>
    <row r="5" spans="1:21" x14ac:dyDescent="0.3">
      <c r="A5" s="6" t="s">
        <v>3</v>
      </c>
      <c r="B5" s="2" t="s">
        <v>4</v>
      </c>
      <c r="C5" s="1">
        <v>1</v>
      </c>
      <c r="D5" s="1">
        <v>4</v>
      </c>
      <c r="E5" s="1"/>
      <c r="F5" s="1"/>
      <c r="G5" s="1"/>
      <c r="H5" s="1">
        <v>1</v>
      </c>
      <c r="I5" s="1">
        <v>2</v>
      </c>
      <c r="J5" s="1">
        <v>5</v>
      </c>
      <c r="K5" s="1">
        <v>3</v>
      </c>
      <c r="L5" s="1">
        <v>5</v>
      </c>
      <c r="M5" s="1">
        <v>1</v>
      </c>
      <c r="N5" s="1">
        <v>4</v>
      </c>
      <c r="O5" s="1">
        <v>1</v>
      </c>
      <c r="P5" s="1">
        <v>2</v>
      </c>
      <c r="Q5" s="1">
        <v>2</v>
      </c>
      <c r="R5" s="1">
        <v>3</v>
      </c>
      <c r="S5" s="1">
        <v>4</v>
      </c>
      <c r="T5" s="1">
        <v>3</v>
      </c>
      <c r="U5" s="1"/>
    </row>
    <row r="6" spans="1:21" x14ac:dyDescent="0.3">
      <c r="A6" s="6"/>
      <c r="B6" s="2" t="s">
        <v>5</v>
      </c>
      <c r="C6" s="1">
        <v>1</v>
      </c>
      <c r="D6" s="1">
        <v>6</v>
      </c>
      <c r="E6" s="1">
        <v>1</v>
      </c>
      <c r="F6" s="1">
        <v>5</v>
      </c>
      <c r="G6" s="1">
        <v>3</v>
      </c>
      <c r="H6" s="1"/>
      <c r="I6" s="1">
        <v>1</v>
      </c>
      <c r="J6" s="1">
        <v>2</v>
      </c>
      <c r="K6" s="1">
        <v>4</v>
      </c>
      <c r="L6" s="1">
        <v>2</v>
      </c>
      <c r="M6" s="1">
        <v>12</v>
      </c>
      <c r="N6" s="1">
        <v>3</v>
      </c>
      <c r="O6" s="1">
        <v>2</v>
      </c>
      <c r="P6" s="1"/>
      <c r="Q6" s="1">
        <v>2</v>
      </c>
      <c r="R6" s="1">
        <v>2</v>
      </c>
      <c r="S6" s="1">
        <v>3</v>
      </c>
      <c r="T6" s="1">
        <v>7</v>
      </c>
      <c r="U6" s="1"/>
    </row>
    <row r="7" spans="1:21" x14ac:dyDescent="0.3">
      <c r="A7" s="6"/>
      <c r="B7" s="2" t="s">
        <v>6</v>
      </c>
      <c r="C7" s="1"/>
      <c r="D7" s="1"/>
      <c r="E7" s="1"/>
      <c r="F7" s="1">
        <v>1</v>
      </c>
      <c r="G7" s="1">
        <v>1</v>
      </c>
      <c r="H7" s="1"/>
      <c r="I7" s="1"/>
      <c r="J7" s="1"/>
      <c r="K7" s="1">
        <v>1</v>
      </c>
      <c r="L7" s="1"/>
      <c r="M7" s="1"/>
      <c r="N7" s="1"/>
      <c r="O7" s="1"/>
      <c r="P7" s="1"/>
      <c r="Q7" s="1"/>
      <c r="R7" s="1"/>
      <c r="S7" s="1"/>
      <c r="T7" s="1">
        <v>1</v>
      </c>
      <c r="U7" s="1"/>
    </row>
    <row r="8" spans="1:21" x14ac:dyDescent="0.3">
      <c r="A8" s="6"/>
      <c r="B8" s="2" t="s">
        <v>7</v>
      </c>
      <c r="C8" s="1"/>
      <c r="D8" s="1">
        <v>3</v>
      </c>
      <c r="E8" s="1">
        <v>1</v>
      </c>
      <c r="F8" s="1"/>
      <c r="G8" s="1"/>
      <c r="H8" s="1"/>
      <c r="I8" s="1">
        <v>1</v>
      </c>
      <c r="J8" s="1"/>
      <c r="K8" s="1"/>
      <c r="L8" s="1">
        <v>3</v>
      </c>
      <c r="M8" s="1"/>
      <c r="N8" s="1"/>
      <c r="O8" s="1">
        <v>1</v>
      </c>
      <c r="P8" s="1"/>
      <c r="Q8" s="1"/>
      <c r="R8" s="1">
        <v>2</v>
      </c>
      <c r="S8" s="1">
        <v>1</v>
      </c>
      <c r="T8" s="1"/>
      <c r="U8" s="1"/>
    </row>
    <row r="9" spans="1:21" x14ac:dyDescent="0.3">
      <c r="A9" s="6"/>
      <c r="B9" s="2" t="s">
        <v>8</v>
      </c>
      <c r="C9" s="1"/>
      <c r="D9" s="1"/>
      <c r="E9" s="1"/>
      <c r="F9" s="1"/>
      <c r="G9" s="1">
        <v>1</v>
      </c>
      <c r="H9" s="1"/>
      <c r="I9" s="1"/>
      <c r="J9" s="1"/>
      <c r="K9" s="1"/>
      <c r="L9" s="1"/>
      <c r="M9" s="1">
        <v>1</v>
      </c>
      <c r="N9" s="1"/>
      <c r="O9" s="1"/>
      <c r="P9" s="1"/>
      <c r="Q9" s="1"/>
      <c r="R9" s="1">
        <v>1</v>
      </c>
      <c r="S9" s="1"/>
      <c r="T9" s="1"/>
      <c r="U9" s="1"/>
    </row>
    <row r="10" spans="1:21" x14ac:dyDescent="0.3">
      <c r="A10" s="6"/>
      <c r="B10" s="2" t="s">
        <v>9</v>
      </c>
      <c r="C10" s="1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6"/>
      <c r="B11" s="2" t="s">
        <v>10</v>
      </c>
      <c r="C11" s="1"/>
      <c r="D11" s="1"/>
      <c r="E11" s="1">
        <v>3</v>
      </c>
      <c r="F11" s="1"/>
      <c r="G11" s="1"/>
      <c r="H11" s="1">
        <v>1</v>
      </c>
      <c r="I11" s="1">
        <v>3</v>
      </c>
      <c r="J11" s="1"/>
      <c r="K11" s="1"/>
      <c r="L11" s="1">
        <v>2</v>
      </c>
      <c r="M11" s="1"/>
      <c r="N11" s="1">
        <v>1</v>
      </c>
      <c r="O11" s="1"/>
      <c r="P11" s="1"/>
      <c r="Q11" s="1">
        <v>1</v>
      </c>
      <c r="R11" s="1"/>
      <c r="S11" s="1"/>
      <c r="T11" s="1"/>
      <c r="U11" s="1"/>
    </row>
    <row r="12" spans="1:21" x14ac:dyDescent="0.3">
      <c r="A12" s="6"/>
      <c r="B12" s="2" t="s">
        <v>11</v>
      </c>
      <c r="C12" s="1"/>
      <c r="D12" s="1"/>
      <c r="E12" s="1"/>
      <c r="F12" s="1"/>
      <c r="G12" s="1">
        <v>1</v>
      </c>
      <c r="H12" s="1"/>
      <c r="I12" s="1"/>
      <c r="J12" s="1"/>
      <c r="K12" s="1"/>
      <c r="L12" s="1"/>
      <c r="M12" s="1"/>
      <c r="N12" s="1">
        <v>1</v>
      </c>
      <c r="O12" s="1"/>
      <c r="P12" s="1">
        <v>1</v>
      </c>
      <c r="Q12" s="1"/>
      <c r="R12" s="1"/>
      <c r="S12" s="1"/>
      <c r="T12" s="1"/>
      <c r="U12" s="1"/>
    </row>
    <row r="13" spans="1:21" x14ac:dyDescent="0.3">
      <c r="A13" s="6"/>
      <c r="B13" s="2" t="s">
        <v>12</v>
      </c>
      <c r="C13" s="1"/>
      <c r="D13" s="1"/>
      <c r="E13" s="1">
        <v>1</v>
      </c>
      <c r="F13" s="1"/>
      <c r="G13" s="1"/>
      <c r="H13" s="1"/>
      <c r="I13" s="1">
        <v>1</v>
      </c>
      <c r="J13" s="1"/>
      <c r="K13" s="1">
        <v>1</v>
      </c>
      <c r="L13" s="1">
        <v>2</v>
      </c>
      <c r="M13" s="1">
        <v>2</v>
      </c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6"/>
      <c r="B14" s="2" t="s">
        <v>13</v>
      </c>
      <c r="C14" s="1"/>
      <c r="D14" s="1"/>
      <c r="E14" s="1"/>
      <c r="F14" s="1"/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6"/>
      <c r="B15" s="2" t="s">
        <v>14</v>
      </c>
      <c r="C15" s="1"/>
      <c r="D15" s="1"/>
      <c r="E15" s="1"/>
      <c r="F15" s="1"/>
      <c r="G15" s="1"/>
      <c r="H15" s="1"/>
      <c r="I15" s="1"/>
      <c r="J15" s="1">
        <v>1</v>
      </c>
      <c r="K15" s="1"/>
      <c r="L15" s="1"/>
      <c r="M15" s="1"/>
      <c r="N15" s="1"/>
      <c r="O15" s="1"/>
      <c r="P15" s="1"/>
      <c r="Q15" s="1"/>
      <c r="R15" s="1"/>
      <c r="S15" s="1"/>
      <c r="T15" s="1">
        <v>1</v>
      </c>
      <c r="U15" s="1"/>
    </row>
    <row r="16" spans="1:21" x14ac:dyDescent="0.3">
      <c r="A16" s="6"/>
      <c r="B16" s="2" t="s">
        <v>15</v>
      </c>
      <c r="C16" s="1"/>
      <c r="D16" s="1"/>
      <c r="E16" s="1"/>
      <c r="F16" s="1">
        <v>5</v>
      </c>
      <c r="G16" s="1">
        <v>1</v>
      </c>
      <c r="H16" s="1"/>
      <c r="I16" s="1"/>
      <c r="J16" s="1"/>
      <c r="K16" s="1">
        <v>1</v>
      </c>
      <c r="L16" s="1"/>
      <c r="M16" s="1"/>
      <c r="N16" s="1"/>
      <c r="O16" s="1"/>
      <c r="P16" s="1"/>
      <c r="Q16" s="1"/>
      <c r="R16" s="1">
        <v>1</v>
      </c>
      <c r="S16" s="1"/>
      <c r="T16" s="1"/>
      <c r="U16" s="1">
        <v>1</v>
      </c>
    </row>
    <row r="17" spans="1:21" x14ac:dyDescent="0.3">
      <c r="A17" s="6"/>
      <c r="B17" s="2" t="s">
        <v>16</v>
      </c>
      <c r="C17" s="1"/>
      <c r="D17" s="1"/>
      <c r="E17" s="1">
        <v>1</v>
      </c>
      <c r="F17" s="1">
        <v>1</v>
      </c>
      <c r="G17" s="1"/>
      <c r="H17" s="1"/>
      <c r="I17" s="1"/>
      <c r="J17" s="1"/>
      <c r="K17" s="1">
        <v>1</v>
      </c>
      <c r="L17" s="1"/>
      <c r="M17" s="1">
        <v>3</v>
      </c>
      <c r="N17" s="1"/>
      <c r="O17" s="1"/>
      <c r="P17" s="1"/>
      <c r="Q17" s="1">
        <v>1</v>
      </c>
      <c r="R17" s="1"/>
      <c r="S17" s="1"/>
      <c r="T17" s="1"/>
      <c r="U17" s="1"/>
    </row>
    <row r="18" spans="1:21" x14ac:dyDescent="0.3">
      <c r="A18" s="6"/>
      <c r="B18" s="2" t="s">
        <v>17</v>
      </c>
      <c r="C18" s="1"/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6"/>
      <c r="B19" s="2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v>1</v>
      </c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6"/>
      <c r="B20" s="2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1</v>
      </c>
      <c r="P20" s="1"/>
      <c r="Q20" s="1"/>
      <c r="R20" s="1"/>
      <c r="S20" s="1"/>
      <c r="T20" s="1"/>
      <c r="U20" s="1"/>
    </row>
    <row r="21" spans="1:21" x14ac:dyDescent="0.3">
      <c r="A21" s="6"/>
      <c r="B21" s="2" t="s">
        <v>20</v>
      </c>
      <c r="C21" s="1"/>
      <c r="D21" s="1"/>
      <c r="E21" s="1">
        <v>1</v>
      </c>
      <c r="F21" s="1"/>
      <c r="G21" s="1">
        <v>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6" t="s">
        <v>21</v>
      </c>
      <c r="B22" s="2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1</v>
      </c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6"/>
      <c r="B23" s="2" t="s">
        <v>23</v>
      </c>
      <c r="C23" s="1">
        <v>1</v>
      </c>
      <c r="D23" s="1">
        <v>1</v>
      </c>
      <c r="E23" s="1"/>
      <c r="F23" s="1">
        <v>1</v>
      </c>
      <c r="G23" s="1">
        <v>1</v>
      </c>
      <c r="H23" s="1">
        <v>7</v>
      </c>
      <c r="I23" s="1"/>
      <c r="J23" s="1"/>
      <c r="K23" s="1">
        <v>2</v>
      </c>
      <c r="L23" s="1"/>
      <c r="M23" s="1"/>
      <c r="N23" s="1">
        <v>2</v>
      </c>
      <c r="O23" s="1"/>
      <c r="P23" s="1">
        <v>2</v>
      </c>
      <c r="Q23" s="1"/>
      <c r="R23" s="1"/>
      <c r="S23" s="1">
        <v>1</v>
      </c>
      <c r="T23" s="1"/>
      <c r="U23" s="1"/>
    </row>
    <row r="24" spans="1:21" x14ac:dyDescent="0.3">
      <c r="A24" s="6"/>
      <c r="B24" s="2" t="s">
        <v>24</v>
      </c>
      <c r="C24" s="1">
        <v>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6"/>
      <c r="B25" s="2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>
        <v>1</v>
      </c>
      <c r="R25" s="1">
        <v>1</v>
      </c>
      <c r="S25" s="1"/>
      <c r="T25" s="1"/>
      <c r="U25" s="1"/>
    </row>
    <row r="26" spans="1:21" x14ac:dyDescent="0.3">
      <c r="A26" s="6"/>
      <c r="B26" s="2" t="s">
        <v>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1</v>
      </c>
      <c r="R26" s="1"/>
      <c r="S26" s="1"/>
      <c r="T26" s="1"/>
      <c r="U26" s="1">
        <v>1</v>
      </c>
    </row>
    <row r="27" spans="1:21" x14ac:dyDescent="0.3">
      <c r="A27" s="6"/>
      <c r="B27" s="2" t="s">
        <v>27</v>
      </c>
      <c r="C27" s="1"/>
      <c r="D27" s="1">
        <v>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6"/>
      <c r="B28" s="2" t="s">
        <v>28</v>
      </c>
      <c r="C28" s="1"/>
      <c r="D28" s="1"/>
      <c r="E28" s="1"/>
      <c r="F28" s="1"/>
      <c r="G28" s="1">
        <v>1</v>
      </c>
      <c r="H28" s="1">
        <v>3</v>
      </c>
      <c r="I28" s="1"/>
      <c r="J28" s="1"/>
      <c r="K28" s="1"/>
      <c r="L28" s="1"/>
      <c r="M28" s="1">
        <v>1</v>
      </c>
      <c r="N28" s="1"/>
      <c r="O28" s="1"/>
      <c r="P28" s="1"/>
      <c r="Q28" s="1"/>
      <c r="R28" s="1"/>
      <c r="S28" s="1"/>
      <c r="T28" s="1">
        <v>2</v>
      </c>
      <c r="U28" s="1"/>
    </row>
    <row r="29" spans="1:21" x14ac:dyDescent="0.3">
      <c r="A29" s="6"/>
      <c r="B29" s="2" t="s">
        <v>29</v>
      </c>
      <c r="C29" s="1"/>
      <c r="D29" s="1"/>
      <c r="E29" s="1"/>
      <c r="F29" s="1">
        <v>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6"/>
      <c r="B30" s="2" t="s">
        <v>30</v>
      </c>
      <c r="C30" s="1"/>
      <c r="D30" s="1"/>
      <c r="E30" s="1"/>
      <c r="F30" s="1"/>
      <c r="G30" s="1"/>
      <c r="H30" s="1">
        <v>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6"/>
      <c r="B31" s="2" t="s">
        <v>31</v>
      </c>
      <c r="C31" s="1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1</v>
      </c>
      <c r="R31" s="1"/>
      <c r="S31" s="1"/>
      <c r="T31" s="1"/>
      <c r="U31" s="1"/>
    </row>
    <row r="32" spans="1:21" x14ac:dyDescent="0.3">
      <c r="A32" s="6"/>
      <c r="B32" s="2" t="s">
        <v>32</v>
      </c>
      <c r="C32" s="1"/>
      <c r="D32" s="1"/>
      <c r="E32" s="1"/>
      <c r="F32" s="1">
        <v>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6"/>
      <c r="B33" s="2" t="s">
        <v>33</v>
      </c>
      <c r="C33" s="1"/>
      <c r="D33" s="1"/>
      <c r="E33" s="1"/>
      <c r="F33" s="1">
        <v>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A34" s="6"/>
      <c r="B34" s="2" t="s">
        <v>34</v>
      </c>
      <c r="C34" s="1"/>
      <c r="D34" s="1"/>
      <c r="E34" s="1"/>
      <c r="F34" s="1">
        <v>3</v>
      </c>
      <c r="G34" s="1">
        <v>2</v>
      </c>
      <c r="H34" s="1"/>
      <c r="I34" s="1"/>
      <c r="J34" s="1"/>
      <c r="K34" s="1"/>
      <c r="L34" s="1"/>
      <c r="M34" s="1"/>
      <c r="N34" s="1"/>
      <c r="O34" s="1">
        <v>1</v>
      </c>
      <c r="P34" s="1"/>
      <c r="Q34" s="1"/>
      <c r="R34" s="1"/>
      <c r="S34" s="1"/>
      <c r="T34" s="1"/>
      <c r="U34" s="1"/>
    </row>
    <row r="35" spans="1:21" x14ac:dyDescent="0.3">
      <c r="A35" s="6"/>
      <c r="B35" s="2" t="s">
        <v>35</v>
      </c>
      <c r="C35" s="1"/>
      <c r="D35" s="1"/>
      <c r="E35" s="1"/>
      <c r="F35" s="1"/>
      <c r="G35" s="1">
        <v>1</v>
      </c>
      <c r="H35" s="1">
        <v>1</v>
      </c>
      <c r="I35" s="1">
        <v>1</v>
      </c>
      <c r="J35" s="1"/>
      <c r="K35" s="1"/>
      <c r="L35" s="1">
        <v>1</v>
      </c>
      <c r="M35" s="1"/>
      <c r="N35" s="1">
        <v>5</v>
      </c>
      <c r="O35" s="1"/>
      <c r="P35" s="1"/>
      <c r="Q35" s="1">
        <v>1</v>
      </c>
      <c r="R35" s="1"/>
      <c r="S35" s="1"/>
      <c r="T35" s="1"/>
      <c r="U35" s="1">
        <v>1</v>
      </c>
    </row>
    <row r="36" spans="1:21" x14ac:dyDescent="0.3">
      <c r="A36" s="3" t="s">
        <v>36</v>
      </c>
      <c r="B36" s="2" t="s">
        <v>37</v>
      </c>
      <c r="C36" s="1">
        <v>1</v>
      </c>
      <c r="D36" s="1"/>
      <c r="E36" s="1"/>
      <c r="F36" s="1"/>
      <c r="G36" s="1">
        <v>1</v>
      </c>
      <c r="H36" s="1">
        <v>1</v>
      </c>
      <c r="I36" s="1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4"/>
      <c r="B37" s="2" t="s">
        <v>38</v>
      </c>
      <c r="C37" s="1">
        <v>1</v>
      </c>
      <c r="D37" s="1"/>
      <c r="E37" s="1"/>
      <c r="F37" s="1"/>
      <c r="G37" s="1">
        <v>1</v>
      </c>
      <c r="H37" s="1"/>
      <c r="I37" s="1"/>
      <c r="J37" s="1"/>
      <c r="K37" s="1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4"/>
      <c r="B38" s="2" t="s">
        <v>39</v>
      </c>
      <c r="C38" s="1">
        <v>1</v>
      </c>
      <c r="D38" s="1"/>
      <c r="E38" s="1">
        <v>1</v>
      </c>
      <c r="F38" s="1"/>
      <c r="G38" s="1"/>
      <c r="H38" s="1"/>
      <c r="I38" s="1">
        <v>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4"/>
      <c r="B39" s="2" t="s">
        <v>40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>
        <v>2</v>
      </c>
      <c r="R39" s="1"/>
      <c r="S39" s="1"/>
      <c r="T39" s="1"/>
      <c r="U39" s="1"/>
    </row>
    <row r="40" spans="1:21" x14ac:dyDescent="0.3">
      <c r="A40" s="4"/>
      <c r="B40" s="2" t="s">
        <v>41</v>
      </c>
      <c r="C40" s="1"/>
      <c r="D40" s="1"/>
      <c r="E40" s="1"/>
      <c r="F40" s="1"/>
      <c r="G40" s="1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">
      <c r="A41" s="4"/>
      <c r="B41" s="2" t="s">
        <v>42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>
        <v>1</v>
      </c>
      <c r="R41" s="1"/>
      <c r="S41" s="1"/>
      <c r="T41" s="1"/>
      <c r="U41" s="1"/>
    </row>
    <row r="42" spans="1:21" x14ac:dyDescent="0.3">
      <c r="A42" s="3" t="s">
        <v>43</v>
      </c>
      <c r="B42" s="2" t="s">
        <v>44</v>
      </c>
      <c r="C42" s="1">
        <v>1</v>
      </c>
      <c r="D42" s="1"/>
      <c r="E42" s="1"/>
      <c r="F42" s="1"/>
      <c r="G42" s="1"/>
      <c r="H42" s="1">
        <v>1</v>
      </c>
      <c r="I42" s="1"/>
      <c r="J42" s="1"/>
      <c r="K42" s="1"/>
      <c r="L42" s="1"/>
      <c r="M42" s="1"/>
      <c r="N42" s="1"/>
      <c r="O42" s="1">
        <v>1</v>
      </c>
      <c r="P42" s="1"/>
      <c r="Q42" s="1"/>
      <c r="R42" s="1"/>
      <c r="S42" s="1"/>
      <c r="T42" s="1"/>
      <c r="U42" s="1"/>
    </row>
    <row r="43" spans="1:21" x14ac:dyDescent="0.3">
      <c r="A43" s="4"/>
      <c r="B43" s="2" t="s">
        <v>45</v>
      </c>
      <c r="C43" s="1">
        <v>3</v>
      </c>
      <c r="D43" s="1"/>
      <c r="E43" s="1"/>
      <c r="F43" s="1"/>
      <c r="G43" s="1"/>
      <c r="H43" s="1">
        <v>3</v>
      </c>
      <c r="I43" s="1">
        <v>2</v>
      </c>
      <c r="J43" s="1"/>
      <c r="K43" s="1"/>
      <c r="L43" s="1"/>
      <c r="M43" s="1"/>
      <c r="N43" s="1">
        <v>1</v>
      </c>
      <c r="O43" s="1">
        <v>1</v>
      </c>
      <c r="P43" s="1"/>
      <c r="Q43" s="1"/>
      <c r="R43" s="1"/>
      <c r="S43" s="1">
        <v>1</v>
      </c>
      <c r="T43" s="1"/>
      <c r="U43" s="1"/>
    </row>
    <row r="44" spans="1:21" x14ac:dyDescent="0.3">
      <c r="A44" s="4"/>
      <c r="B44" s="2" t="s">
        <v>46</v>
      </c>
      <c r="C44" s="1">
        <v>2</v>
      </c>
      <c r="D44" s="1"/>
      <c r="E44" s="1"/>
      <c r="F44" s="1"/>
      <c r="G44" s="1"/>
      <c r="H44" s="1">
        <v>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4"/>
      <c r="B45" s="2" t="s">
        <v>47</v>
      </c>
      <c r="C45" s="1">
        <v>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4"/>
      <c r="B46" s="2" t="s">
        <v>48</v>
      </c>
      <c r="C46" s="1"/>
      <c r="D46" s="1"/>
      <c r="E46" s="1"/>
      <c r="F46" s="1"/>
      <c r="G46" s="1"/>
      <c r="H46" s="1">
        <v>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4"/>
      <c r="B47" s="2" t="s">
        <v>49</v>
      </c>
      <c r="C47" s="1"/>
      <c r="D47" s="1"/>
      <c r="E47" s="1"/>
      <c r="F47" s="1"/>
      <c r="G47" s="1"/>
      <c r="H47" s="1">
        <v>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">
      <c r="A48" s="4"/>
      <c r="B48" s="2" t="s">
        <v>50</v>
      </c>
      <c r="C48" s="1"/>
      <c r="D48" s="1"/>
      <c r="E48" s="1"/>
      <c r="F48" s="1">
        <v>1</v>
      </c>
      <c r="G48" s="1"/>
      <c r="H48" s="1"/>
      <c r="I48" s="1"/>
      <c r="J48" s="1"/>
      <c r="K48" s="1"/>
      <c r="L48" s="1"/>
      <c r="M48" s="1">
        <v>1</v>
      </c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5"/>
      <c r="B49" s="2" t="s">
        <v>51</v>
      </c>
      <c r="C49" s="1">
        <v>23</v>
      </c>
      <c r="D49" s="1"/>
      <c r="E49" s="1"/>
      <c r="F49" s="1">
        <v>8</v>
      </c>
      <c r="G49" s="1">
        <v>2</v>
      </c>
      <c r="H49" s="1">
        <v>4</v>
      </c>
      <c r="I49" s="1">
        <v>10</v>
      </c>
      <c r="J49" s="1">
        <v>4</v>
      </c>
      <c r="K49" s="1">
        <v>1</v>
      </c>
      <c r="L49" s="1"/>
      <c r="M49" s="1">
        <v>3</v>
      </c>
      <c r="N49" s="1">
        <v>1</v>
      </c>
      <c r="O49" s="1">
        <v>1</v>
      </c>
      <c r="P49" s="1"/>
      <c r="Q49" s="1">
        <v>3</v>
      </c>
      <c r="R49" s="1"/>
      <c r="S49" s="1">
        <v>8</v>
      </c>
      <c r="T49" s="1"/>
      <c r="U49" s="1">
        <v>3</v>
      </c>
    </row>
    <row r="50" spans="1:21" x14ac:dyDescent="0.3">
      <c r="A50" s="6" t="s">
        <v>52</v>
      </c>
      <c r="B50" s="6"/>
      <c r="C50" s="1">
        <f t="shared" ref="C50:U50" si="0">SUM(C5:C49)</f>
        <v>40</v>
      </c>
      <c r="D50" s="1">
        <f t="shared" si="0"/>
        <v>16</v>
      </c>
      <c r="E50" s="1">
        <f t="shared" si="0"/>
        <v>9</v>
      </c>
      <c r="F50" s="1">
        <f t="shared" si="0"/>
        <v>29</v>
      </c>
      <c r="G50" s="1">
        <f t="shared" si="0"/>
        <v>19</v>
      </c>
      <c r="H50" s="1">
        <f t="shared" si="0"/>
        <v>26</v>
      </c>
      <c r="I50" s="1">
        <f t="shared" si="0"/>
        <v>23</v>
      </c>
      <c r="J50" s="1">
        <f t="shared" si="0"/>
        <v>12</v>
      </c>
      <c r="K50" s="1">
        <f t="shared" si="0"/>
        <v>15</v>
      </c>
      <c r="L50" s="1">
        <f t="shared" si="0"/>
        <v>15</v>
      </c>
      <c r="M50" s="1">
        <f t="shared" si="0"/>
        <v>26</v>
      </c>
      <c r="N50" s="1">
        <f t="shared" si="0"/>
        <v>18</v>
      </c>
      <c r="O50" s="1">
        <f t="shared" si="0"/>
        <v>9</v>
      </c>
      <c r="P50" s="1">
        <f t="shared" si="0"/>
        <v>5</v>
      </c>
      <c r="Q50" s="1">
        <f t="shared" si="0"/>
        <v>16</v>
      </c>
      <c r="R50" s="1">
        <f t="shared" si="0"/>
        <v>10</v>
      </c>
      <c r="S50" s="1">
        <f t="shared" si="0"/>
        <v>18</v>
      </c>
      <c r="T50" s="1">
        <f t="shared" si="0"/>
        <v>14</v>
      </c>
      <c r="U50" s="1">
        <f t="shared" si="0"/>
        <v>6</v>
      </c>
    </row>
  </sheetData>
  <mergeCells count="8">
    <mergeCell ref="A42:A49"/>
    <mergeCell ref="A50:B50"/>
    <mergeCell ref="A1:B2"/>
    <mergeCell ref="A3:B3"/>
    <mergeCell ref="A4:B4"/>
    <mergeCell ref="A5:A21"/>
    <mergeCell ref="A22:A35"/>
    <mergeCell ref="A36:A4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7B45-E441-4C81-A2CB-CB5E1B7C48F7}">
  <dimension ref="A1:U50"/>
  <sheetViews>
    <sheetView workbookViewId="0">
      <selection activeCell="D39" sqref="D39"/>
    </sheetView>
  </sheetViews>
  <sheetFormatPr defaultRowHeight="14" x14ac:dyDescent="0.3"/>
  <cols>
    <col min="1" max="1" width="14.5" customWidth="1"/>
    <col min="2" max="2" width="19.6640625" customWidth="1"/>
  </cols>
  <sheetData>
    <row r="1" spans="1:21" x14ac:dyDescent="0.3">
      <c r="A1" s="7" t="s">
        <v>54</v>
      </c>
      <c r="B1" s="7"/>
    </row>
    <row r="2" spans="1:21" x14ac:dyDescent="0.3">
      <c r="A2" s="7"/>
      <c r="B2" s="7"/>
    </row>
    <row r="3" spans="1:21" x14ac:dyDescent="0.3">
      <c r="A3" s="8" t="s">
        <v>1</v>
      </c>
      <c r="B3" s="8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1:21" x14ac:dyDescent="0.3">
      <c r="A4" s="9" t="s">
        <v>2</v>
      </c>
      <c r="B4" s="8"/>
      <c r="C4" s="1">
        <v>46</v>
      </c>
      <c r="D4" s="1">
        <v>48</v>
      </c>
      <c r="E4" s="1">
        <v>42</v>
      </c>
      <c r="F4" s="1">
        <v>46</v>
      </c>
      <c r="G4" s="1">
        <v>47</v>
      </c>
      <c r="H4" s="1">
        <v>45</v>
      </c>
      <c r="I4" s="1">
        <v>47</v>
      </c>
      <c r="J4" s="1">
        <v>52</v>
      </c>
      <c r="K4" s="1">
        <v>44</v>
      </c>
      <c r="L4" s="1">
        <v>51</v>
      </c>
      <c r="M4" s="1">
        <v>50</v>
      </c>
      <c r="N4" s="1">
        <v>52</v>
      </c>
      <c r="O4" s="1">
        <v>51</v>
      </c>
      <c r="P4" s="1">
        <v>14</v>
      </c>
      <c r="Q4" s="1">
        <v>46</v>
      </c>
      <c r="R4" s="1">
        <v>52</v>
      </c>
      <c r="S4" s="1">
        <v>51</v>
      </c>
      <c r="T4" s="1">
        <v>44</v>
      </c>
      <c r="U4" s="1">
        <v>55</v>
      </c>
    </row>
    <row r="5" spans="1:21" x14ac:dyDescent="0.3">
      <c r="A5" s="6" t="s">
        <v>3</v>
      </c>
      <c r="B5" s="2" t="s">
        <v>4</v>
      </c>
      <c r="C5" s="1">
        <v>1.7692307692307689</v>
      </c>
      <c r="D5" s="1">
        <v>7.3846153846153832</v>
      </c>
      <c r="E5" s="1">
        <v>0</v>
      </c>
      <c r="F5" s="1">
        <v>0</v>
      </c>
      <c r="G5" s="1">
        <v>0</v>
      </c>
      <c r="H5" s="1">
        <v>1.7307692307692306</v>
      </c>
      <c r="I5" s="1">
        <v>3.6153846153846154</v>
      </c>
      <c r="J5" s="1">
        <v>10</v>
      </c>
      <c r="K5" s="1">
        <v>5.0769230769230766</v>
      </c>
      <c r="L5" s="1">
        <v>9.8076923076923066</v>
      </c>
      <c r="M5" s="1">
        <v>1.9230769230769229</v>
      </c>
      <c r="N5" s="1">
        <v>8</v>
      </c>
      <c r="O5" s="1">
        <v>1.9615384615384612</v>
      </c>
      <c r="P5" s="1">
        <v>1.0769230769230766</v>
      </c>
      <c r="Q5" s="1">
        <v>3.5384615384615379</v>
      </c>
      <c r="R5" s="1">
        <v>6</v>
      </c>
      <c r="S5" s="1">
        <v>7.8461538461538449</v>
      </c>
      <c r="T5" s="1">
        <v>5.0769230769230766</v>
      </c>
      <c r="U5" s="1">
        <v>0</v>
      </c>
    </row>
    <row r="6" spans="1:21" x14ac:dyDescent="0.3">
      <c r="A6" s="6"/>
      <c r="B6" s="2" t="s">
        <v>5</v>
      </c>
      <c r="C6" s="1">
        <v>1.7692307692307689</v>
      </c>
      <c r="D6" s="1">
        <v>11.076923076923075</v>
      </c>
      <c r="E6" s="1">
        <v>1.6153846153846154</v>
      </c>
      <c r="F6" s="1">
        <v>8.8461538461538449</v>
      </c>
      <c r="G6" s="1">
        <v>5.4230769230769225</v>
      </c>
      <c r="H6" s="1">
        <v>0</v>
      </c>
      <c r="I6" s="1">
        <v>1.8076923076923077</v>
      </c>
      <c r="J6" s="1">
        <v>4</v>
      </c>
      <c r="K6" s="1">
        <v>6.7692307692307692</v>
      </c>
      <c r="L6" s="1">
        <v>3.9230769230769225</v>
      </c>
      <c r="M6" s="1">
        <v>23.076923076923073</v>
      </c>
      <c r="N6" s="1">
        <v>6</v>
      </c>
      <c r="O6" s="1">
        <v>3.9230769230769225</v>
      </c>
      <c r="P6" s="1">
        <v>0</v>
      </c>
      <c r="Q6" s="1">
        <v>3.5384615384615379</v>
      </c>
      <c r="R6" s="1">
        <v>4</v>
      </c>
      <c r="S6" s="1">
        <v>5.8846153846153832</v>
      </c>
      <c r="T6" s="1">
        <v>11.846153846153847</v>
      </c>
      <c r="U6" s="1">
        <v>0</v>
      </c>
    </row>
    <row r="7" spans="1:21" x14ac:dyDescent="0.3">
      <c r="A7" s="6"/>
      <c r="B7" s="2" t="s">
        <v>6</v>
      </c>
      <c r="C7" s="1">
        <v>0</v>
      </c>
      <c r="D7" s="1">
        <v>0</v>
      </c>
      <c r="E7" s="1">
        <v>0</v>
      </c>
      <c r="F7" s="1">
        <v>1.7692307692307689</v>
      </c>
      <c r="G7" s="1">
        <v>1.8076923076923077</v>
      </c>
      <c r="H7" s="1">
        <v>0</v>
      </c>
      <c r="I7" s="1">
        <v>0</v>
      </c>
      <c r="J7" s="1">
        <v>0</v>
      </c>
      <c r="K7" s="1">
        <v>1.6923076923076923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1.6923076923076923</v>
      </c>
      <c r="U7" s="1">
        <v>0</v>
      </c>
    </row>
    <row r="8" spans="1:21" x14ac:dyDescent="0.3">
      <c r="A8" s="6"/>
      <c r="B8" s="2" t="s">
        <v>7</v>
      </c>
      <c r="C8" s="1">
        <v>0</v>
      </c>
      <c r="D8" s="1">
        <v>5.5384615384615374</v>
      </c>
      <c r="E8" s="1">
        <v>1.6153846153846154</v>
      </c>
      <c r="F8" s="1">
        <v>0</v>
      </c>
      <c r="G8" s="1">
        <v>0</v>
      </c>
      <c r="H8" s="1">
        <v>0</v>
      </c>
      <c r="I8" s="1">
        <v>1.8076923076923077</v>
      </c>
      <c r="J8" s="1">
        <v>0</v>
      </c>
      <c r="K8" s="1">
        <v>0</v>
      </c>
      <c r="L8" s="1">
        <v>5.8846153846153832</v>
      </c>
      <c r="M8" s="1">
        <v>0</v>
      </c>
      <c r="N8" s="1">
        <v>0</v>
      </c>
      <c r="O8" s="1">
        <v>1.9615384615384612</v>
      </c>
      <c r="P8" s="1">
        <v>0</v>
      </c>
      <c r="Q8" s="1">
        <v>0</v>
      </c>
      <c r="R8" s="1">
        <v>4</v>
      </c>
      <c r="S8" s="1">
        <v>1.9615384615384612</v>
      </c>
      <c r="T8" s="1">
        <v>0</v>
      </c>
      <c r="U8" s="1">
        <v>0</v>
      </c>
    </row>
    <row r="9" spans="1:21" x14ac:dyDescent="0.3">
      <c r="A9" s="6"/>
      <c r="B9" s="2" t="s">
        <v>8</v>
      </c>
      <c r="C9" s="1">
        <v>0</v>
      </c>
      <c r="D9" s="1">
        <v>0</v>
      </c>
      <c r="E9" s="1">
        <v>0</v>
      </c>
      <c r="F9" s="1">
        <v>0</v>
      </c>
      <c r="G9" s="1">
        <v>1.8076923076923077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1.9230769230769229</v>
      </c>
      <c r="N9" s="1">
        <v>0</v>
      </c>
      <c r="O9" s="1">
        <v>0</v>
      </c>
      <c r="P9" s="1">
        <v>0</v>
      </c>
      <c r="Q9" s="1">
        <v>0</v>
      </c>
      <c r="R9" s="1">
        <v>2</v>
      </c>
      <c r="S9" s="1">
        <v>0</v>
      </c>
      <c r="T9" s="1">
        <v>0</v>
      </c>
      <c r="U9" s="1">
        <v>0</v>
      </c>
    </row>
    <row r="10" spans="1:21" x14ac:dyDescent="0.3">
      <c r="A10" s="6"/>
      <c r="B10" s="2" t="s">
        <v>9</v>
      </c>
      <c r="C10" s="1">
        <v>1.7692307692307689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A11" s="6"/>
      <c r="B11" s="2" t="s">
        <v>10</v>
      </c>
      <c r="C11" s="1">
        <v>0</v>
      </c>
      <c r="D11" s="1">
        <v>0</v>
      </c>
      <c r="E11" s="1">
        <v>4.8461538461538458</v>
      </c>
      <c r="F11" s="1">
        <v>0</v>
      </c>
      <c r="G11" s="1">
        <v>0</v>
      </c>
      <c r="H11" s="1">
        <v>1.7307692307692306</v>
      </c>
      <c r="I11" s="1">
        <v>5.4230769230769225</v>
      </c>
      <c r="J11" s="1">
        <v>0</v>
      </c>
      <c r="K11" s="1">
        <v>0</v>
      </c>
      <c r="L11" s="1">
        <v>3.9230769230769225</v>
      </c>
      <c r="M11" s="1">
        <v>0</v>
      </c>
      <c r="N11" s="1">
        <v>2</v>
      </c>
      <c r="O11" s="1">
        <v>0</v>
      </c>
      <c r="P11" s="1">
        <v>0</v>
      </c>
      <c r="Q11" s="1">
        <v>1.7692307692307689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">
      <c r="A12" s="6"/>
      <c r="B12" s="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1.8076923076923077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0</v>
      </c>
      <c r="P12" s="1">
        <v>0.53846153846153832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">
      <c r="A13" s="6"/>
      <c r="B13" s="2" t="s">
        <v>12</v>
      </c>
      <c r="C13" s="1">
        <v>0</v>
      </c>
      <c r="D13" s="1">
        <v>0</v>
      </c>
      <c r="E13" s="1">
        <v>1.6153846153846154</v>
      </c>
      <c r="F13" s="1">
        <v>0</v>
      </c>
      <c r="G13" s="1">
        <v>0</v>
      </c>
      <c r="H13" s="1">
        <v>0</v>
      </c>
      <c r="I13" s="1">
        <v>1.8076923076923077</v>
      </c>
      <c r="J13" s="1">
        <v>0</v>
      </c>
      <c r="K13" s="1">
        <v>1.6923076923076923</v>
      </c>
      <c r="L13" s="1">
        <v>3.9230769230769225</v>
      </c>
      <c r="M13" s="1">
        <v>3.8461538461538458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">
      <c r="A14" s="6"/>
      <c r="B14" s="2" t="s">
        <v>13</v>
      </c>
      <c r="C14" s="1">
        <v>0</v>
      </c>
      <c r="D14" s="1">
        <v>0</v>
      </c>
      <c r="E14" s="1">
        <v>0</v>
      </c>
      <c r="F14" s="1">
        <v>0</v>
      </c>
      <c r="G14" s="1">
        <v>1.8076923076923077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">
      <c r="A15" s="6"/>
      <c r="B15" s="2" t="s">
        <v>14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1.6923076923076923</v>
      </c>
      <c r="U15" s="1">
        <v>0</v>
      </c>
    </row>
    <row r="16" spans="1:21" x14ac:dyDescent="0.3">
      <c r="A16" s="6"/>
      <c r="B16" s="2" t="s">
        <v>15</v>
      </c>
      <c r="C16" s="1">
        <v>0</v>
      </c>
      <c r="D16" s="1">
        <v>0</v>
      </c>
      <c r="E16" s="1">
        <v>0</v>
      </c>
      <c r="F16" s="1">
        <v>8.8461538461538449</v>
      </c>
      <c r="G16" s="1">
        <v>1.8076923076923077</v>
      </c>
      <c r="H16" s="1">
        <v>0</v>
      </c>
      <c r="I16" s="1">
        <v>0</v>
      </c>
      <c r="J16" s="1">
        <v>0</v>
      </c>
      <c r="K16" s="1">
        <v>1.6923076923076923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2</v>
      </c>
      <c r="S16" s="1">
        <v>0</v>
      </c>
      <c r="T16" s="1">
        <v>0</v>
      </c>
      <c r="U16" s="1">
        <v>2.115384615384615</v>
      </c>
    </row>
    <row r="17" spans="1:21" x14ac:dyDescent="0.3">
      <c r="A17" s="6"/>
      <c r="B17" s="2" t="s">
        <v>16</v>
      </c>
      <c r="C17" s="1">
        <v>0</v>
      </c>
      <c r="D17" s="1">
        <v>0</v>
      </c>
      <c r="E17" s="1">
        <v>1.6153846153846154</v>
      </c>
      <c r="F17" s="1">
        <v>1.7692307692307689</v>
      </c>
      <c r="G17" s="1">
        <v>0</v>
      </c>
      <c r="H17" s="1">
        <v>0</v>
      </c>
      <c r="I17" s="1">
        <v>0</v>
      </c>
      <c r="J17" s="1">
        <v>0</v>
      </c>
      <c r="K17" s="1">
        <v>1.6923076923076923</v>
      </c>
      <c r="L17" s="1">
        <v>0</v>
      </c>
      <c r="M17" s="1">
        <v>5.7692307692307683</v>
      </c>
      <c r="N17" s="1">
        <v>0</v>
      </c>
      <c r="O17" s="1">
        <v>0</v>
      </c>
      <c r="P17" s="1">
        <v>0</v>
      </c>
      <c r="Q17" s="1">
        <v>1.7692307692307689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s="6"/>
      <c r="B18" s="2" t="s">
        <v>17</v>
      </c>
      <c r="C18" s="1">
        <v>0</v>
      </c>
      <c r="D18" s="1">
        <v>1.8461538461538458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s="6"/>
      <c r="B19" s="2" t="s">
        <v>18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1.9230769230769229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">
      <c r="A20" s="6"/>
      <c r="B20" s="2" t="s">
        <v>19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1.9615384615384612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">
      <c r="A21" s="6"/>
      <c r="B21" s="2" t="s">
        <v>20</v>
      </c>
      <c r="C21" s="1">
        <v>0</v>
      </c>
      <c r="D21" s="1">
        <v>0</v>
      </c>
      <c r="E21" s="1">
        <v>1.6153846153846154</v>
      </c>
      <c r="F21" s="1">
        <v>0</v>
      </c>
      <c r="G21" s="1">
        <v>1.8076923076923077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">
      <c r="A22" s="6" t="s">
        <v>21</v>
      </c>
      <c r="B22" s="2" t="s">
        <v>22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1.9230769230769229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">
      <c r="A23" s="6"/>
      <c r="B23" s="2" t="s">
        <v>23</v>
      </c>
      <c r="C23" s="1">
        <v>1.7692307692307689</v>
      </c>
      <c r="D23" s="1">
        <v>1.8461538461538458</v>
      </c>
      <c r="E23" s="1">
        <v>0</v>
      </c>
      <c r="F23" s="1">
        <v>1.7692307692307689</v>
      </c>
      <c r="G23" s="1">
        <v>1.8076923076923077</v>
      </c>
      <c r="H23" s="1">
        <v>12.115384615384615</v>
      </c>
      <c r="I23" s="1">
        <v>0</v>
      </c>
      <c r="J23" s="1">
        <v>0</v>
      </c>
      <c r="K23" s="1">
        <v>3.3846153846153846</v>
      </c>
      <c r="L23" s="1">
        <v>0</v>
      </c>
      <c r="M23" s="1">
        <v>0</v>
      </c>
      <c r="N23" s="1">
        <v>4</v>
      </c>
      <c r="O23" s="1">
        <v>0</v>
      </c>
      <c r="P23" s="1">
        <v>1.0769230769230766</v>
      </c>
      <c r="Q23" s="1">
        <v>0</v>
      </c>
      <c r="R23" s="1">
        <v>0</v>
      </c>
      <c r="S23" s="1">
        <v>1.9615384615384612</v>
      </c>
      <c r="T23" s="1">
        <v>0</v>
      </c>
      <c r="U23" s="1">
        <v>0</v>
      </c>
    </row>
    <row r="24" spans="1:21" x14ac:dyDescent="0.3">
      <c r="A24" s="6"/>
      <c r="B24" s="2" t="s">
        <v>24</v>
      </c>
      <c r="C24" s="1">
        <v>1.7692307692307689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3">
      <c r="A25" s="6"/>
      <c r="B25" s="2" t="s">
        <v>25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1.7692307692307689</v>
      </c>
      <c r="R25" s="1">
        <v>2</v>
      </c>
      <c r="S25" s="1">
        <v>0</v>
      </c>
      <c r="T25" s="1">
        <v>0</v>
      </c>
      <c r="U25" s="1">
        <v>0</v>
      </c>
    </row>
    <row r="26" spans="1:21" x14ac:dyDescent="0.3">
      <c r="A26" s="6"/>
      <c r="B26" s="2" t="s">
        <v>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1.7692307692307689</v>
      </c>
      <c r="R26" s="1">
        <v>0</v>
      </c>
      <c r="S26" s="1">
        <v>0</v>
      </c>
      <c r="T26" s="1">
        <v>0</v>
      </c>
      <c r="U26" s="1">
        <v>2.115384615384615</v>
      </c>
    </row>
    <row r="27" spans="1:21" x14ac:dyDescent="0.3">
      <c r="A27" s="6"/>
      <c r="B27" s="2" t="s">
        <v>27</v>
      </c>
      <c r="C27" s="1">
        <v>0</v>
      </c>
      <c r="D27" s="1">
        <v>1.8461538461538458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">
      <c r="A28" s="6"/>
      <c r="B28" s="2" t="s">
        <v>28</v>
      </c>
      <c r="C28" s="1">
        <v>0</v>
      </c>
      <c r="D28" s="1">
        <v>0</v>
      </c>
      <c r="E28" s="1">
        <v>0</v>
      </c>
      <c r="F28" s="1">
        <v>0</v>
      </c>
      <c r="G28" s="1">
        <v>1.8076923076923077</v>
      </c>
      <c r="H28" s="1">
        <v>5.1923076923076916</v>
      </c>
      <c r="I28" s="1">
        <v>0</v>
      </c>
      <c r="J28" s="1">
        <v>0</v>
      </c>
      <c r="K28" s="1">
        <v>0</v>
      </c>
      <c r="L28" s="1">
        <v>0</v>
      </c>
      <c r="M28" s="1">
        <v>1.9230769230769229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3.3846153846153846</v>
      </c>
      <c r="U28" s="1">
        <v>0</v>
      </c>
    </row>
    <row r="29" spans="1:21" x14ac:dyDescent="0.3">
      <c r="A29" s="6"/>
      <c r="B29" s="2" t="s">
        <v>29</v>
      </c>
      <c r="C29" s="1">
        <v>0</v>
      </c>
      <c r="D29" s="1">
        <v>0</v>
      </c>
      <c r="E29" s="1">
        <v>0</v>
      </c>
      <c r="F29" s="1">
        <v>1.7692307692307689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">
      <c r="A30" s="6"/>
      <c r="B30" s="2" t="s">
        <v>30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1.7307692307692306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s="6"/>
      <c r="B31" s="2" t="s">
        <v>31</v>
      </c>
      <c r="C31" s="1">
        <v>1.7692307692307689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1.7692307692307689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">
      <c r="A32" s="6"/>
      <c r="B32" s="2" t="s">
        <v>32</v>
      </c>
      <c r="C32" s="1">
        <v>0</v>
      </c>
      <c r="D32" s="1">
        <v>0</v>
      </c>
      <c r="E32" s="1">
        <v>0</v>
      </c>
      <c r="F32" s="1">
        <v>1.7692307692307689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">
      <c r="A33" s="6"/>
      <c r="B33" s="2" t="s">
        <v>33</v>
      </c>
      <c r="C33" s="1">
        <v>0</v>
      </c>
      <c r="D33" s="1">
        <v>0</v>
      </c>
      <c r="E33" s="1">
        <v>0</v>
      </c>
      <c r="F33" s="1">
        <v>3.5384615384615379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">
      <c r="A34" s="6"/>
      <c r="B34" s="2" t="s">
        <v>34</v>
      </c>
      <c r="C34" s="1">
        <v>0</v>
      </c>
      <c r="D34" s="1">
        <v>0</v>
      </c>
      <c r="E34" s="1">
        <v>0</v>
      </c>
      <c r="F34" s="1">
        <v>5.3076923076923066</v>
      </c>
      <c r="G34" s="1">
        <v>3.6153846153846154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1.9615384615384612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s="6"/>
      <c r="B35" s="2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1.8076923076923077</v>
      </c>
      <c r="H35" s="1">
        <v>1.7307692307692306</v>
      </c>
      <c r="I35" s="1">
        <v>1.8076923076923077</v>
      </c>
      <c r="J35" s="1">
        <v>0</v>
      </c>
      <c r="K35" s="1">
        <v>0</v>
      </c>
      <c r="L35" s="1">
        <v>1.9615384615384612</v>
      </c>
      <c r="M35" s="1">
        <v>0</v>
      </c>
      <c r="N35" s="1">
        <v>10</v>
      </c>
      <c r="O35" s="1">
        <v>0</v>
      </c>
      <c r="P35" s="1">
        <v>0</v>
      </c>
      <c r="Q35" s="1">
        <v>1.7692307692307689</v>
      </c>
      <c r="R35" s="1">
        <v>0</v>
      </c>
      <c r="S35" s="1">
        <v>0</v>
      </c>
      <c r="T35" s="1">
        <v>0</v>
      </c>
      <c r="U35" s="1">
        <v>2.115384615384615</v>
      </c>
    </row>
    <row r="36" spans="1:21" x14ac:dyDescent="0.3">
      <c r="A36" s="3" t="s">
        <v>36</v>
      </c>
      <c r="B36" s="2" t="s">
        <v>37</v>
      </c>
      <c r="C36" s="1">
        <v>1.7692307692307689</v>
      </c>
      <c r="D36" s="1">
        <v>0</v>
      </c>
      <c r="E36" s="1">
        <v>0</v>
      </c>
      <c r="F36" s="1">
        <v>0</v>
      </c>
      <c r="G36" s="1">
        <v>1.8076923076923077</v>
      </c>
      <c r="H36" s="1">
        <v>1.7307692307692306</v>
      </c>
      <c r="I36" s="1">
        <v>1.8076923076923077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A37" s="4"/>
      <c r="B37" s="2" t="s">
        <v>38</v>
      </c>
      <c r="C37" s="1">
        <v>1.7692307692307689</v>
      </c>
      <c r="D37" s="1">
        <v>0</v>
      </c>
      <c r="E37" s="1">
        <v>0</v>
      </c>
      <c r="F37" s="1">
        <v>0</v>
      </c>
      <c r="G37" s="1">
        <v>1.8076923076923077</v>
      </c>
      <c r="H37" s="1">
        <v>0</v>
      </c>
      <c r="I37" s="1">
        <v>0</v>
      </c>
      <c r="J37" s="1">
        <v>0</v>
      </c>
      <c r="K37" s="1">
        <v>1.6923076923076923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A38" s="4"/>
      <c r="B38" s="2" t="s">
        <v>39</v>
      </c>
      <c r="C38" s="1">
        <v>1.7692307692307689</v>
      </c>
      <c r="D38" s="1">
        <v>0</v>
      </c>
      <c r="E38" s="1">
        <v>1.6153846153846154</v>
      </c>
      <c r="F38" s="1">
        <v>0</v>
      </c>
      <c r="G38" s="1">
        <v>0</v>
      </c>
      <c r="H38" s="1">
        <v>0</v>
      </c>
      <c r="I38" s="1">
        <v>1.8076923076923077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s="4"/>
      <c r="B39" s="2" t="s">
        <v>40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3.5384615384615379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A40" s="4"/>
      <c r="B40" s="2" t="s">
        <v>41</v>
      </c>
      <c r="C40" s="1">
        <v>0</v>
      </c>
      <c r="D40" s="1">
        <v>0</v>
      </c>
      <c r="E40" s="1">
        <v>0</v>
      </c>
      <c r="F40" s="1">
        <v>0</v>
      </c>
      <c r="G40" s="1">
        <v>1.8076923076923077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A41" s="4"/>
      <c r="B41" s="2" t="s">
        <v>42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1.7692307692307689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s="3" t="s">
        <v>43</v>
      </c>
      <c r="B42" s="2" t="s">
        <v>44</v>
      </c>
      <c r="C42" s="1">
        <v>1.7692307692307689</v>
      </c>
      <c r="D42" s="1">
        <v>0</v>
      </c>
      <c r="E42" s="1">
        <v>0</v>
      </c>
      <c r="F42" s="1">
        <v>0</v>
      </c>
      <c r="G42" s="1">
        <v>0</v>
      </c>
      <c r="H42" s="1">
        <v>1.7307692307692306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1.9615384615384612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A43" s="4"/>
      <c r="B43" s="2" t="s">
        <v>45</v>
      </c>
      <c r="C43" s="1">
        <v>5.3076923076923066</v>
      </c>
      <c r="D43" s="1">
        <v>0</v>
      </c>
      <c r="E43" s="1">
        <v>0</v>
      </c>
      <c r="F43" s="1">
        <v>0</v>
      </c>
      <c r="G43" s="1">
        <v>0</v>
      </c>
      <c r="H43" s="1">
        <v>5.1923076923076916</v>
      </c>
      <c r="I43" s="1">
        <v>3.6153846153846154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1.9615384615384612</v>
      </c>
      <c r="P43" s="1">
        <v>0</v>
      </c>
      <c r="Q43" s="1">
        <v>0</v>
      </c>
      <c r="R43" s="1">
        <v>0</v>
      </c>
      <c r="S43" s="1">
        <v>1.9615384615384612</v>
      </c>
      <c r="T43" s="1">
        <v>0</v>
      </c>
      <c r="U43" s="1">
        <v>0</v>
      </c>
    </row>
    <row r="44" spans="1:21" x14ac:dyDescent="0.3">
      <c r="A44" s="4"/>
      <c r="B44" s="2" t="s">
        <v>46</v>
      </c>
      <c r="C44" s="1">
        <v>3.5384615384615379</v>
      </c>
      <c r="D44" s="1">
        <v>0</v>
      </c>
      <c r="E44" s="1">
        <v>0</v>
      </c>
      <c r="F44" s="1">
        <v>0</v>
      </c>
      <c r="G44" s="1">
        <v>0</v>
      </c>
      <c r="H44" s="1">
        <v>1.7307692307692306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A45" s="4"/>
      <c r="B45" s="2" t="s">
        <v>47</v>
      </c>
      <c r="C45" s="1">
        <v>3.5384615384615379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A46" s="4"/>
      <c r="B46" s="2" t="s">
        <v>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1.7307692307692306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A47" s="4"/>
      <c r="B47" s="2" t="s">
        <v>49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1.7307692307692306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A48" s="4"/>
      <c r="B48" s="2" t="s">
        <v>50</v>
      </c>
      <c r="C48" s="1">
        <v>0</v>
      </c>
      <c r="D48" s="1">
        <v>0</v>
      </c>
      <c r="E48" s="1">
        <v>0</v>
      </c>
      <c r="F48" s="1">
        <v>1.7692307692307689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1.9230769230769229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A49" s="5"/>
      <c r="B49" s="2" t="s">
        <v>51</v>
      </c>
      <c r="C49" s="1">
        <v>40.692307692307693</v>
      </c>
      <c r="D49" s="1">
        <v>0</v>
      </c>
      <c r="E49" s="1">
        <v>0</v>
      </c>
      <c r="F49" s="1">
        <v>14.153846153846152</v>
      </c>
      <c r="G49" s="1">
        <v>3.6153846153846154</v>
      </c>
      <c r="H49" s="1">
        <v>6.9230769230769225</v>
      </c>
      <c r="I49" s="1">
        <v>18.076923076923077</v>
      </c>
      <c r="J49" s="1">
        <v>8</v>
      </c>
      <c r="K49" s="1">
        <v>1.6923076923076923</v>
      </c>
      <c r="L49" s="1">
        <v>0</v>
      </c>
      <c r="M49" s="1">
        <v>5.7692307692307683</v>
      </c>
      <c r="N49" s="1">
        <v>2</v>
      </c>
      <c r="O49" s="1">
        <v>1.9615384615384612</v>
      </c>
      <c r="P49" s="1">
        <v>0</v>
      </c>
      <c r="Q49" s="1">
        <v>5.3076923076923066</v>
      </c>
      <c r="R49" s="1">
        <v>0</v>
      </c>
      <c r="S49" s="1">
        <v>15.69230769230769</v>
      </c>
      <c r="T49" s="1">
        <v>0</v>
      </c>
      <c r="U49" s="1">
        <v>6.3461538461538458</v>
      </c>
    </row>
    <row r="50" spans="1:21" x14ac:dyDescent="0.3">
      <c r="A50" s="6" t="s">
        <v>52</v>
      </c>
      <c r="B50" s="6"/>
      <c r="C50" s="1">
        <f t="shared" ref="C50:U50" si="0">SUM(C5:C49)</f>
        <v>70.769230769230759</v>
      </c>
      <c r="D50" s="1">
        <f t="shared" si="0"/>
        <v>29.538461538461537</v>
      </c>
      <c r="E50" s="1">
        <f t="shared" si="0"/>
        <v>14.538461538461537</v>
      </c>
      <c r="F50" s="1">
        <f t="shared" si="0"/>
        <v>51.307692307692307</v>
      </c>
      <c r="G50" s="1">
        <f t="shared" si="0"/>
        <v>34.34615384615384</v>
      </c>
      <c r="H50" s="1">
        <f t="shared" si="0"/>
        <v>45</v>
      </c>
      <c r="I50" s="1">
        <f t="shared" si="0"/>
        <v>41.57692307692308</v>
      </c>
      <c r="J50" s="1">
        <f t="shared" si="0"/>
        <v>24</v>
      </c>
      <c r="K50" s="1">
        <f t="shared" si="0"/>
        <v>25.384615384615387</v>
      </c>
      <c r="L50" s="1">
        <f t="shared" si="0"/>
        <v>29.42307692307692</v>
      </c>
      <c r="M50" s="1">
        <f t="shared" si="0"/>
        <v>49.999999999999979</v>
      </c>
      <c r="N50" s="1">
        <f t="shared" si="0"/>
        <v>36</v>
      </c>
      <c r="O50" s="1">
        <f t="shared" si="0"/>
        <v>17.653846153846153</v>
      </c>
      <c r="P50" s="1">
        <f t="shared" si="0"/>
        <v>2.6923076923076916</v>
      </c>
      <c r="Q50" s="1">
        <f t="shared" si="0"/>
        <v>28.307692307692299</v>
      </c>
      <c r="R50" s="1">
        <f t="shared" si="0"/>
        <v>20</v>
      </c>
      <c r="S50" s="1">
        <f t="shared" si="0"/>
        <v>35.307692307692299</v>
      </c>
      <c r="T50" s="1">
        <f t="shared" si="0"/>
        <v>23.692307692307693</v>
      </c>
      <c r="U50" s="1">
        <f t="shared" si="0"/>
        <v>12.69230769230769</v>
      </c>
    </row>
  </sheetData>
  <mergeCells count="8">
    <mergeCell ref="A42:A49"/>
    <mergeCell ref="A50:B50"/>
    <mergeCell ref="A1:B2"/>
    <mergeCell ref="A3:B3"/>
    <mergeCell ref="A4:B4"/>
    <mergeCell ref="A5:A21"/>
    <mergeCell ref="A22:A35"/>
    <mergeCell ref="A36:A4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C572-06A9-41E7-9C03-C74BD2F17142}">
  <dimension ref="A1:U50"/>
  <sheetViews>
    <sheetView workbookViewId="0">
      <selection activeCell="R50" sqref="R50:U50"/>
    </sheetView>
  </sheetViews>
  <sheetFormatPr defaultRowHeight="14" x14ac:dyDescent="0.3"/>
  <cols>
    <col min="1" max="1" width="16.4140625" customWidth="1"/>
    <col min="2" max="2" width="22.58203125" customWidth="1"/>
  </cols>
  <sheetData>
    <row r="1" spans="1:21" x14ac:dyDescent="0.3">
      <c r="A1" s="7" t="s">
        <v>55</v>
      </c>
      <c r="B1" s="7"/>
    </row>
    <row r="2" spans="1:21" x14ac:dyDescent="0.3">
      <c r="A2" s="7"/>
      <c r="B2" s="7"/>
    </row>
    <row r="3" spans="1:21" x14ac:dyDescent="0.3">
      <c r="A3" s="8" t="s">
        <v>1</v>
      </c>
      <c r="B3" s="8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1:21" x14ac:dyDescent="0.3">
      <c r="A4" s="9" t="s">
        <v>2</v>
      </c>
      <c r="B4" s="8"/>
      <c r="C4" s="1">
        <v>46</v>
      </c>
      <c r="D4" s="1">
        <v>48</v>
      </c>
      <c r="E4" s="1">
        <v>42</v>
      </c>
      <c r="F4" s="1">
        <v>46</v>
      </c>
      <c r="G4" s="1">
        <v>47</v>
      </c>
      <c r="H4" s="1">
        <v>45</v>
      </c>
      <c r="I4" s="1">
        <v>47</v>
      </c>
      <c r="J4" s="1">
        <v>52</v>
      </c>
      <c r="K4" s="1">
        <v>44</v>
      </c>
      <c r="L4" s="1">
        <v>51</v>
      </c>
      <c r="M4" s="1">
        <v>50</v>
      </c>
      <c r="N4" s="1">
        <v>52</v>
      </c>
      <c r="O4" s="1">
        <v>51</v>
      </c>
      <c r="P4" s="1">
        <v>14</v>
      </c>
      <c r="Q4" s="1">
        <v>46</v>
      </c>
      <c r="R4" s="1">
        <v>52</v>
      </c>
      <c r="S4" s="1">
        <v>51</v>
      </c>
      <c r="T4" s="1">
        <v>44</v>
      </c>
      <c r="U4" s="1">
        <v>55</v>
      </c>
    </row>
    <row r="5" spans="1:21" x14ac:dyDescent="0.3">
      <c r="A5" s="6" t="s">
        <v>3</v>
      </c>
      <c r="B5" s="2" t="s">
        <v>4</v>
      </c>
      <c r="C5" s="1">
        <v>3.5384615384615382E-5</v>
      </c>
      <c r="D5" s="1">
        <v>1.4769230769230769E-4</v>
      </c>
      <c r="E5" s="1">
        <v>0</v>
      </c>
      <c r="F5" s="1">
        <v>0</v>
      </c>
      <c r="G5" s="1">
        <v>0</v>
      </c>
      <c r="H5" s="1">
        <v>3.4615384615384612E-5</v>
      </c>
      <c r="I5" s="1">
        <v>7.2307692307692318E-5</v>
      </c>
      <c r="J5" s="1">
        <v>2.0000000000000001E-4</v>
      </c>
      <c r="K5" s="1">
        <v>1.0153846153846155E-4</v>
      </c>
      <c r="L5" s="1">
        <v>1.9615384615384615E-4</v>
      </c>
      <c r="M5" s="1">
        <v>3.8461538461538463E-5</v>
      </c>
      <c r="N5" s="1">
        <v>1.6000000000000001E-4</v>
      </c>
      <c r="O5" s="1">
        <v>3.9230769230769226E-5</v>
      </c>
      <c r="P5" s="1">
        <v>2.1538461538461535E-5</v>
      </c>
      <c r="Q5" s="1">
        <v>7.0769230769230764E-5</v>
      </c>
      <c r="R5" s="1">
        <v>1.2000000000000002E-4</v>
      </c>
      <c r="S5" s="1">
        <v>1.5692307692307691E-4</v>
      </c>
      <c r="T5" s="1">
        <v>1.0153846153846155E-4</v>
      </c>
      <c r="U5" s="1">
        <v>0</v>
      </c>
    </row>
    <row r="6" spans="1:21" x14ac:dyDescent="0.3">
      <c r="A6" s="6"/>
      <c r="B6" s="2" t="s">
        <v>5</v>
      </c>
      <c r="C6" s="1">
        <v>3.5384615384615382E-5</v>
      </c>
      <c r="D6" s="1">
        <v>2.2153846153846152E-4</v>
      </c>
      <c r="E6" s="1">
        <v>3.2307692307692308E-5</v>
      </c>
      <c r="F6" s="1">
        <v>1.769230769230769E-4</v>
      </c>
      <c r="G6" s="1">
        <v>1.0846153846153846E-4</v>
      </c>
      <c r="H6" s="1">
        <v>0</v>
      </c>
      <c r="I6" s="1">
        <v>3.6153846153846159E-5</v>
      </c>
      <c r="J6" s="1">
        <v>8.0000000000000007E-5</v>
      </c>
      <c r="K6" s="1">
        <v>1.3538461538461539E-4</v>
      </c>
      <c r="L6" s="1">
        <v>7.8461538461538453E-5</v>
      </c>
      <c r="M6" s="1">
        <v>4.6153846153846147E-4</v>
      </c>
      <c r="N6" s="1">
        <v>1.2000000000000002E-4</v>
      </c>
      <c r="O6" s="1">
        <v>7.8461538461538453E-5</v>
      </c>
      <c r="P6" s="1">
        <v>0</v>
      </c>
      <c r="Q6" s="1">
        <v>7.0769230769230764E-5</v>
      </c>
      <c r="R6" s="1">
        <v>8.0000000000000007E-5</v>
      </c>
      <c r="S6" s="1">
        <v>1.1769230769230768E-4</v>
      </c>
      <c r="T6" s="1">
        <v>2.3692307692307695E-4</v>
      </c>
      <c r="U6" s="1">
        <v>0</v>
      </c>
    </row>
    <row r="7" spans="1:21" x14ac:dyDescent="0.3">
      <c r="A7" s="6"/>
      <c r="B7" s="2" t="s">
        <v>6</v>
      </c>
      <c r="C7" s="1">
        <v>0</v>
      </c>
      <c r="D7" s="1">
        <v>0</v>
      </c>
      <c r="E7" s="1">
        <v>0</v>
      </c>
      <c r="F7" s="1">
        <v>3.5384615384615382E-5</v>
      </c>
      <c r="G7" s="1">
        <v>3.6153846153846159E-5</v>
      </c>
      <c r="H7" s="1">
        <v>0</v>
      </c>
      <c r="I7" s="1">
        <v>0</v>
      </c>
      <c r="J7" s="1">
        <v>0</v>
      </c>
      <c r="K7" s="1">
        <v>3.3846153846153848E-5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3.3846153846153848E-5</v>
      </c>
      <c r="U7" s="1">
        <v>0</v>
      </c>
    </row>
    <row r="8" spans="1:21" x14ac:dyDescent="0.3">
      <c r="A8" s="6"/>
      <c r="B8" s="2" t="s">
        <v>7</v>
      </c>
      <c r="C8" s="1">
        <v>0</v>
      </c>
      <c r="D8" s="1">
        <v>1.1076923076923076E-4</v>
      </c>
      <c r="E8" s="1">
        <v>3.2307692307692308E-5</v>
      </c>
      <c r="F8" s="1">
        <v>0</v>
      </c>
      <c r="G8" s="1">
        <v>0</v>
      </c>
      <c r="H8" s="1">
        <v>0</v>
      </c>
      <c r="I8" s="1">
        <v>3.6153846153846159E-5</v>
      </c>
      <c r="J8" s="1">
        <v>0</v>
      </c>
      <c r="K8" s="1">
        <v>0</v>
      </c>
      <c r="L8" s="1">
        <v>1.1769230769230768E-4</v>
      </c>
      <c r="M8" s="1">
        <v>0</v>
      </c>
      <c r="N8" s="1">
        <v>0</v>
      </c>
      <c r="O8" s="1">
        <v>3.9230769230769226E-5</v>
      </c>
      <c r="P8" s="1">
        <v>0</v>
      </c>
      <c r="Q8" s="1">
        <v>0</v>
      </c>
      <c r="R8" s="1">
        <v>8.0000000000000007E-5</v>
      </c>
      <c r="S8" s="1">
        <v>3.9230769230769226E-5</v>
      </c>
      <c r="T8" s="1">
        <v>0</v>
      </c>
      <c r="U8" s="1">
        <v>0</v>
      </c>
    </row>
    <row r="9" spans="1:21" x14ac:dyDescent="0.3">
      <c r="A9" s="6"/>
      <c r="B9" s="2" t="s">
        <v>8</v>
      </c>
      <c r="C9" s="1">
        <v>0</v>
      </c>
      <c r="D9" s="1">
        <v>0</v>
      </c>
      <c r="E9" s="1">
        <v>0</v>
      </c>
      <c r="F9" s="1">
        <v>0</v>
      </c>
      <c r="G9" s="1">
        <v>3.6153846153846159E-5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3.8461538461538463E-5</v>
      </c>
      <c r="N9" s="1">
        <v>0</v>
      </c>
      <c r="O9" s="1">
        <v>0</v>
      </c>
      <c r="P9" s="1">
        <v>0</v>
      </c>
      <c r="Q9" s="1">
        <v>0</v>
      </c>
      <c r="R9" s="1">
        <v>4.0000000000000003E-5</v>
      </c>
      <c r="S9" s="1">
        <v>0</v>
      </c>
      <c r="T9" s="1">
        <v>0</v>
      </c>
      <c r="U9" s="1">
        <v>0</v>
      </c>
    </row>
    <row r="10" spans="1:21" x14ac:dyDescent="0.3">
      <c r="A10" s="6"/>
      <c r="B10" s="2" t="s">
        <v>9</v>
      </c>
      <c r="C10" s="1">
        <v>3.5384615384615382E-5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A11" s="6"/>
      <c r="B11" s="2" t="s">
        <v>10</v>
      </c>
      <c r="C11" s="1">
        <v>0</v>
      </c>
      <c r="D11" s="1">
        <v>0</v>
      </c>
      <c r="E11" s="1">
        <v>9.6923076923076924E-5</v>
      </c>
      <c r="F11" s="1">
        <v>0</v>
      </c>
      <c r="G11" s="1">
        <v>0</v>
      </c>
      <c r="H11" s="1">
        <v>3.4615384615384612E-5</v>
      </c>
      <c r="I11" s="1">
        <v>1.0846153846153846E-4</v>
      </c>
      <c r="J11" s="1">
        <v>0</v>
      </c>
      <c r="K11" s="1">
        <v>0</v>
      </c>
      <c r="L11" s="1">
        <v>7.8461538461538453E-5</v>
      </c>
      <c r="M11" s="1">
        <v>0</v>
      </c>
      <c r="N11" s="1">
        <v>4.0000000000000003E-5</v>
      </c>
      <c r="O11" s="1">
        <v>0</v>
      </c>
      <c r="P11" s="1">
        <v>0</v>
      </c>
      <c r="Q11" s="1">
        <v>3.5384615384615382E-5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">
      <c r="A12" s="6"/>
      <c r="B12" s="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9.0384615384615384E-5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1E-4</v>
      </c>
      <c r="O12" s="1">
        <v>0</v>
      </c>
      <c r="P12" s="1">
        <v>2.6923076923076917E-5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">
      <c r="A13" s="6"/>
      <c r="B13" s="2" t="s">
        <v>12</v>
      </c>
      <c r="C13" s="1">
        <v>0</v>
      </c>
      <c r="D13" s="1">
        <v>0</v>
      </c>
      <c r="E13" s="1">
        <v>3.2307692307692308E-5</v>
      </c>
      <c r="F13" s="1">
        <v>0</v>
      </c>
      <c r="G13" s="1">
        <v>0</v>
      </c>
      <c r="H13" s="1">
        <v>0</v>
      </c>
      <c r="I13" s="1">
        <v>3.6153846153846159E-5</v>
      </c>
      <c r="J13" s="1">
        <v>0</v>
      </c>
      <c r="K13" s="1">
        <v>3.3846153846153848E-5</v>
      </c>
      <c r="L13" s="1">
        <v>7.8461538461538453E-5</v>
      </c>
      <c r="M13" s="1">
        <v>7.6923076923076926E-5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">
      <c r="A14" s="6"/>
      <c r="B14" s="2" t="s">
        <v>13</v>
      </c>
      <c r="C14" s="1">
        <v>0</v>
      </c>
      <c r="D14" s="1">
        <v>0</v>
      </c>
      <c r="E14" s="1">
        <v>0</v>
      </c>
      <c r="F14" s="1">
        <v>0</v>
      </c>
      <c r="G14" s="1">
        <v>3.6153846153846159E-5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">
      <c r="A15" s="6"/>
      <c r="B15" s="2" t="s">
        <v>14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4.0000000000000003E-5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3.3846153846153848E-5</v>
      </c>
      <c r="U15" s="1">
        <v>0</v>
      </c>
    </row>
    <row r="16" spans="1:21" x14ac:dyDescent="0.3">
      <c r="A16" s="6"/>
      <c r="B16" s="2" t="s">
        <v>15</v>
      </c>
      <c r="C16" s="1">
        <v>0</v>
      </c>
      <c r="D16" s="1">
        <v>0</v>
      </c>
      <c r="E16" s="1">
        <v>0</v>
      </c>
      <c r="F16" s="1">
        <v>1.769230769230769E-4</v>
      </c>
      <c r="G16" s="1">
        <v>3.6153846153846159E-5</v>
      </c>
      <c r="H16" s="1">
        <v>0</v>
      </c>
      <c r="I16" s="1">
        <v>0</v>
      </c>
      <c r="J16" s="1">
        <v>0</v>
      </c>
      <c r="K16" s="1">
        <v>3.3846153846153848E-5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4.0000000000000003E-5</v>
      </c>
      <c r="S16" s="1">
        <v>0</v>
      </c>
      <c r="T16" s="1">
        <v>0</v>
      </c>
      <c r="U16" s="1">
        <v>4.23076923076923E-5</v>
      </c>
    </row>
    <row r="17" spans="1:21" x14ac:dyDescent="0.3">
      <c r="A17" s="6"/>
      <c r="B17" s="2" t="s">
        <v>16</v>
      </c>
      <c r="C17" s="1">
        <v>0</v>
      </c>
      <c r="D17" s="1">
        <v>0</v>
      </c>
      <c r="E17" s="1">
        <v>3.2307692307692308E-5</v>
      </c>
      <c r="F17" s="1">
        <v>3.5384615384615382E-5</v>
      </c>
      <c r="G17" s="1">
        <v>0</v>
      </c>
      <c r="H17" s="1">
        <v>0</v>
      </c>
      <c r="I17" s="1">
        <v>0</v>
      </c>
      <c r="J17" s="1">
        <v>0</v>
      </c>
      <c r="K17" s="1">
        <v>3.3846153846153848E-5</v>
      </c>
      <c r="L17" s="1">
        <v>0</v>
      </c>
      <c r="M17" s="1">
        <v>1.1538461538461537E-4</v>
      </c>
      <c r="N17" s="1">
        <v>0</v>
      </c>
      <c r="O17" s="1">
        <v>0</v>
      </c>
      <c r="P17" s="1">
        <v>0</v>
      </c>
      <c r="Q17" s="1">
        <v>3.5384615384615382E-5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s="6"/>
      <c r="B18" s="2" t="s">
        <v>17</v>
      </c>
      <c r="C18" s="1">
        <v>0</v>
      </c>
      <c r="D18" s="1">
        <v>3.6923076923076922E-5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s="6"/>
      <c r="B19" s="2" t="s">
        <v>18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9.6153846153846148E-4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">
      <c r="A20" s="6"/>
      <c r="B20" s="2" t="s">
        <v>19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3.9230769230769226E-5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">
      <c r="A21" s="6"/>
      <c r="B21" s="2" t="s">
        <v>20</v>
      </c>
      <c r="C21" s="1">
        <v>0</v>
      </c>
      <c r="D21" s="1">
        <v>0</v>
      </c>
      <c r="E21" s="1">
        <v>5.8153846153846158E-5</v>
      </c>
      <c r="F21" s="1">
        <v>0</v>
      </c>
      <c r="G21" s="1">
        <v>6.5076923076923084E-5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">
      <c r="A22" s="6" t="s">
        <v>21</v>
      </c>
      <c r="B22" s="2" t="s">
        <v>22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9.6153846153846148E-4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">
      <c r="A23" s="6"/>
      <c r="B23" s="2" t="s">
        <v>23</v>
      </c>
      <c r="C23" s="1">
        <v>1.8046153846153845E-3</v>
      </c>
      <c r="D23" s="1">
        <v>1.8830769230769229E-3</v>
      </c>
      <c r="E23" s="1">
        <v>0</v>
      </c>
      <c r="F23" s="1">
        <v>1.8046153846153845E-3</v>
      </c>
      <c r="G23" s="1">
        <v>1.843846153846154E-3</v>
      </c>
      <c r="H23" s="1">
        <v>1.2357692307692307E-2</v>
      </c>
      <c r="I23" s="1">
        <v>0</v>
      </c>
      <c r="J23" s="1">
        <v>0</v>
      </c>
      <c r="K23" s="1">
        <v>3.4523076923076925E-3</v>
      </c>
      <c r="L23" s="1">
        <v>0</v>
      </c>
      <c r="M23" s="1">
        <v>0</v>
      </c>
      <c r="N23" s="1">
        <v>4.0800000000000003E-3</v>
      </c>
      <c r="O23" s="1">
        <v>0</v>
      </c>
      <c r="P23" s="1">
        <v>1.0984615384615382E-3</v>
      </c>
      <c r="Q23" s="1">
        <v>0</v>
      </c>
      <c r="R23" s="1">
        <v>0</v>
      </c>
      <c r="S23" s="1">
        <v>2.0007692307692304E-3</v>
      </c>
      <c r="T23" s="1">
        <v>0</v>
      </c>
      <c r="U23" s="1">
        <v>0</v>
      </c>
    </row>
    <row r="24" spans="1:21" x14ac:dyDescent="0.3">
      <c r="A24" s="6"/>
      <c r="B24" s="2" t="s">
        <v>24</v>
      </c>
      <c r="C24" s="1">
        <v>8.8461538461538452E-4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3">
      <c r="A25" s="6"/>
      <c r="B25" s="2" t="s">
        <v>25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5.307692307692306E-4</v>
      </c>
      <c r="R25" s="1">
        <v>5.9999999999999995E-4</v>
      </c>
      <c r="S25" s="1">
        <v>0</v>
      </c>
      <c r="T25" s="1">
        <v>0</v>
      </c>
      <c r="U25" s="1">
        <v>0</v>
      </c>
    </row>
    <row r="26" spans="1:21" x14ac:dyDescent="0.3">
      <c r="A26" s="6"/>
      <c r="B26" s="2" t="s">
        <v>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4.4230769230769228E-3</v>
      </c>
      <c r="R26" s="1">
        <v>0</v>
      </c>
      <c r="S26" s="1">
        <v>0</v>
      </c>
      <c r="T26" s="1">
        <v>0</v>
      </c>
      <c r="U26" s="1">
        <v>5.2884615384615379E-3</v>
      </c>
    </row>
    <row r="27" spans="1:21" x14ac:dyDescent="0.3">
      <c r="A27" s="6"/>
      <c r="B27" s="2" t="s">
        <v>27</v>
      </c>
      <c r="C27" s="1">
        <v>0</v>
      </c>
      <c r="D27" s="1">
        <v>3.6923076923076916E-4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">
      <c r="A28" s="6"/>
      <c r="B28" s="2" t="s">
        <v>28</v>
      </c>
      <c r="C28" s="1">
        <v>0</v>
      </c>
      <c r="D28" s="1">
        <v>0</v>
      </c>
      <c r="E28" s="1">
        <v>0</v>
      </c>
      <c r="F28" s="1">
        <v>0</v>
      </c>
      <c r="G28" s="1">
        <v>4.8807692307692309E-5</v>
      </c>
      <c r="H28" s="1">
        <v>1.4019230769230767E-4</v>
      </c>
      <c r="I28" s="1">
        <v>0</v>
      </c>
      <c r="J28" s="1">
        <v>0</v>
      </c>
      <c r="K28" s="1">
        <v>0</v>
      </c>
      <c r="L28" s="1">
        <v>0</v>
      </c>
      <c r="M28" s="1">
        <v>5.1923076923076914E-5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9.1384615384615381E-5</v>
      </c>
      <c r="U28" s="1">
        <v>0</v>
      </c>
    </row>
    <row r="29" spans="1:21" x14ac:dyDescent="0.3">
      <c r="A29" s="6"/>
      <c r="B29" s="2" t="s">
        <v>29</v>
      </c>
      <c r="C29" s="1">
        <v>0</v>
      </c>
      <c r="D29" s="1">
        <v>0</v>
      </c>
      <c r="E29" s="1">
        <v>0</v>
      </c>
      <c r="F29" s="1">
        <v>3.5384615384615381E-4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">
      <c r="A30" s="6"/>
      <c r="B30" s="2" t="s">
        <v>30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8.653846153846153E-4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s="6"/>
      <c r="B31" s="2" t="s">
        <v>31</v>
      </c>
      <c r="C31" s="1">
        <v>7.0769230769230761E-4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7.0769230769230761E-4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">
      <c r="A32" s="6"/>
      <c r="B32" s="2" t="s">
        <v>32</v>
      </c>
      <c r="C32" s="1">
        <v>0</v>
      </c>
      <c r="D32" s="1">
        <v>0</v>
      </c>
      <c r="E32" s="1">
        <v>0</v>
      </c>
      <c r="F32" s="1">
        <v>1.0615384615384614E-4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">
      <c r="A33" s="6"/>
      <c r="B33" s="2" t="s">
        <v>33</v>
      </c>
      <c r="C33" s="1">
        <v>0</v>
      </c>
      <c r="D33" s="1">
        <v>0</v>
      </c>
      <c r="E33" s="1">
        <v>0</v>
      </c>
      <c r="F33" s="1">
        <v>2.1230769230769228E-4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">
      <c r="A34" s="6"/>
      <c r="B34" s="2" t="s">
        <v>34</v>
      </c>
      <c r="C34" s="1">
        <v>0</v>
      </c>
      <c r="D34" s="1">
        <v>0</v>
      </c>
      <c r="E34" s="1">
        <v>0</v>
      </c>
      <c r="F34" s="1">
        <v>3.184615384615384E-4</v>
      </c>
      <c r="G34" s="1">
        <v>2.1692307692307693E-4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1.1769230769230768E-4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s="6"/>
      <c r="B35" s="2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4.7E-2</v>
      </c>
      <c r="H35" s="1">
        <v>4.4999999999999991E-2</v>
      </c>
      <c r="I35" s="1">
        <v>4.7E-2</v>
      </c>
      <c r="J35" s="1">
        <v>0</v>
      </c>
      <c r="K35" s="1">
        <v>0</v>
      </c>
      <c r="L35" s="1">
        <v>5.099999999999999E-2</v>
      </c>
      <c r="M35" s="1">
        <v>0</v>
      </c>
      <c r="N35" s="1">
        <v>0.26</v>
      </c>
      <c r="O35" s="1">
        <v>0</v>
      </c>
      <c r="P35" s="1">
        <v>0</v>
      </c>
      <c r="Q35" s="1">
        <v>4.5999999999999992E-2</v>
      </c>
      <c r="R35" s="1">
        <v>0</v>
      </c>
      <c r="S35" s="1">
        <v>0</v>
      </c>
      <c r="T35" s="1">
        <v>0</v>
      </c>
      <c r="U35" s="1">
        <v>5.4999999999999986E-2</v>
      </c>
    </row>
    <row r="36" spans="1:21" x14ac:dyDescent="0.3">
      <c r="A36" s="3" t="s">
        <v>36</v>
      </c>
      <c r="B36" s="2" t="s">
        <v>37</v>
      </c>
      <c r="C36" s="1">
        <v>0.10615384615384613</v>
      </c>
      <c r="D36" s="1">
        <v>0</v>
      </c>
      <c r="E36" s="1">
        <v>0</v>
      </c>
      <c r="F36" s="1">
        <v>0</v>
      </c>
      <c r="G36" s="1">
        <v>0.10846153846153846</v>
      </c>
      <c r="H36" s="1">
        <v>0.10384615384615384</v>
      </c>
      <c r="I36" s="1">
        <v>0.10846153846153846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A37" s="4"/>
      <c r="B37" s="2" t="s">
        <v>38</v>
      </c>
      <c r="C37" s="1">
        <v>5.3076923076923063E-2</v>
      </c>
      <c r="D37" s="1">
        <v>0</v>
      </c>
      <c r="E37" s="1">
        <v>0</v>
      </c>
      <c r="F37" s="1">
        <v>0</v>
      </c>
      <c r="G37" s="1">
        <v>5.4230769230769228E-2</v>
      </c>
      <c r="H37" s="1">
        <v>0</v>
      </c>
      <c r="I37" s="1">
        <v>0</v>
      </c>
      <c r="J37" s="1">
        <v>0</v>
      </c>
      <c r="K37" s="1">
        <v>5.0769230769230768E-2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A38" s="4"/>
      <c r="B38" s="2" t="s">
        <v>39</v>
      </c>
      <c r="C38" s="1">
        <v>1.7692307692307691E-2</v>
      </c>
      <c r="D38" s="1">
        <v>0</v>
      </c>
      <c r="E38" s="1">
        <v>1.6153846153846154E-2</v>
      </c>
      <c r="F38" s="1">
        <v>0</v>
      </c>
      <c r="G38" s="1">
        <v>0</v>
      </c>
      <c r="H38" s="1">
        <v>0</v>
      </c>
      <c r="I38" s="1">
        <v>1.8076923076923077E-2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s="4"/>
      <c r="B39" s="2" t="s">
        <v>40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3.5384615384615382E-2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A40" s="4"/>
      <c r="B40" s="2" t="s">
        <v>41</v>
      </c>
      <c r="C40" s="1">
        <v>0</v>
      </c>
      <c r="D40" s="1">
        <v>0</v>
      </c>
      <c r="E40" s="1">
        <v>0</v>
      </c>
      <c r="F40" s="1">
        <v>0</v>
      </c>
      <c r="G40" s="1">
        <v>9.0384615384615386E-3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A41" s="4"/>
      <c r="B41" s="2" t="s">
        <v>42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8.8461538461538456E-3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s="3" t="s">
        <v>43</v>
      </c>
      <c r="B42" s="2" t="s">
        <v>44</v>
      </c>
      <c r="C42" s="1">
        <v>0.12384615384615384</v>
      </c>
      <c r="D42" s="1">
        <v>0</v>
      </c>
      <c r="E42" s="1">
        <v>0</v>
      </c>
      <c r="F42" s="1">
        <v>0</v>
      </c>
      <c r="G42" s="1">
        <v>0</v>
      </c>
      <c r="H42" s="1">
        <v>0.12115384615384615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0.1373076923076923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A43" s="4"/>
      <c r="B43" s="2" t="s">
        <v>45</v>
      </c>
      <c r="C43" s="1">
        <v>0.1592307692307692</v>
      </c>
      <c r="D43" s="1">
        <v>0</v>
      </c>
      <c r="E43" s="1">
        <v>0</v>
      </c>
      <c r="F43" s="1">
        <v>0</v>
      </c>
      <c r="G43" s="1">
        <v>0</v>
      </c>
      <c r="H43" s="1">
        <v>0.15576923076923074</v>
      </c>
      <c r="I43" s="1">
        <v>0.10846153846153846</v>
      </c>
      <c r="J43" s="1">
        <v>0</v>
      </c>
      <c r="K43" s="1">
        <v>0</v>
      </c>
      <c r="L43" s="1">
        <v>0</v>
      </c>
      <c r="M43" s="1">
        <v>0</v>
      </c>
      <c r="N43" s="1">
        <v>0.06</v>
      </c>
      <c r="O43" s="1">
        <v>5.8846153846153833E-2</v>
      </c>
      <c r="P43" s="1">
        <v>0</v>
      </c>
      <c r="Q43" s="1">
        <v>0</v>
      </c>
      <c r="R43" s="1">
        <v>0</v>
      </c>
      <c r="S43" s="1">
        <v>5.8846153846153833E-2</v>
      </c>
      <c r="T43" s="1">
        <v>0</v>
      </c>
      <c r="U43" s="1">
        <v>0</v>
      </c>
    </row>
    <row r="44" spans="1:21" x14ac:dyDescent="0.3">
      <c r="A44" s="4"/>
      <c r="B44" s="2" t="s">
        <v>46</v>
      </c>
      <c r="C44" s="1">
        <v>7.7846153846153829E-2</v>
      </c>
      <c r="D44" s="1">
        <v>0</v>
      </c>
      <c r="E44" s="1">
        <v>0</v>
      </c>
      <c r="F44" s="1">
        <v>0</v>
      </c>
      <c r="G44" s="1">
        <v>0</v>
      </c>
      <c r="H44" s="1">
        <v>3.8076923076923071E-2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A45" s="4"/>
      <c r="B45" s="2" t="s">
        <v>47</v>
      </c>
      <c r="C45" s="1">
        <v>7.0769230769230765E-2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A46" s="4"/>
      <c r="B46" s="2" t="s">
        <v>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1.0384615384615384E-2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A47" s="4"/>
      <c r="B47" s="2" t="s">
        <v>49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1.7307692307692305E-2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A48" s="4"/>
      <c r="B48" s="2" t="s">
        <v>50</v>
      </c>
      <c r="C48" s="1">
        <v>0</v>
      </c>
      <c r="D48" s="1">
        <v>0</v>
      </c>
      <c r="E48" s="1">
        <v>0</v>
      </c>
      <c r="F48" s="1">
        <v>0.10615384615384613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0.11538461538461536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A49" s="5"/>
      <c r="B49" s="2" t="s">
        <v>51</v>
      </c>
      <c r="C49" s="1">
        <v>0.12207692307692308</v>
      </c>
      <c r="D49" s="1">
        <v>0</v>
      </c>
      <c r="E49" s="1">
        <v>0</v>
      </c>
      <c r="F49" s="1">
        <v>4.2461538461538453E-2</v>
      </c>
      <c r="G49" s="1">
        <v>1.0846153846153846E-2</v>
      </c>
      <c r="H49" s="1">
        <v>2.0769230769230769E-2</v>
      </c>
      <c r="I49" s="1">
        <v>5.4230769230769228E-2</v>
      </c>
      <c r="J49" s="1">
        <v>2.4E-2</v>
      </c>
      <c r="K49" s="1">
        <v>5.076923076923077E-3</v>
      </c>
      <c r="L49" s="1">
        <v>0</v>
      </c>
      <c r="M49" s="1">
        <v>1.7307692307692305E-2</v>
      </c>
      <c r="N49" s="1">
        <v>6.0000000000000001E-3</v>
      </c>
      <c r="O49" s="1">
        <v>5.884615384615384E-3</v>
      </c>
      <c r="P49" s="1">
        <v>0</v>
      </c>
      <c r="Q49" s="1">
        <v>1.5923076923076922E-2</v>
      </c>
      <c r="R49" s="1">
        <v>0</v>
      </c>
      <c r="S49" s="1">
        <v>4.7076923076923072E-2</v>
      </c>
      <c r="T49" s="1">
        <v>0</v>
      </c>
      <c r="U49" s="1">
        <v>1.9038461538461539E-2</v>
      </c>
    </row>
    <row r="50" spans="1:21" x14ac:dyDescent="0.3">
      <c r="A50" s="6" t="s">
        <v>52</v>
      </c>
      <c r="B50" s="6"/>
      <c r="C50" s="1">
        <f t="shared" ref="C50:U50" si="0">SUM(C5:C49)</f>
        <v>0.73419538461538458</v>
      </c>
      <c r="D50" s="1">
        <f t="shared" si="0"/>
        <v>2.7692307692307691E-3</v>
      </c>
      <c r="E50" s="1">
        <f t="shared" si="0"/>
        <v>1.6438153846153845E-2</v>
      </c>
      <c r="F50" s="1">
        <f t="shared" si="0"/>
        <v>0.15183538461538459</v>
      </c>
      <c r="G50" s="1">
        <f t="shared" si="0"/>
        <v>0.23209503846153845</v>
      </c>
      <c r="H50" s="1">
        <f t="shared" si="0"/>
        <v>0.52574019230769231</v>
      </c>
      <c r="I50" s="1">
        <f t="shared" si="0"/>
        <v>0.33651999999999999</v>
      </c>
      <c r="J50" s="1">
        <f t="shared" si="0"/>
        <v>2.4320000000000001E-2</v>
      </c>
      <c r="K50" s="1">
        <f t="shared" si="0"/>
        <v>5.9670769230769229E-2</v>
      </c>
      <c r="L50" s="1">
        <f t="shared" si="0"/>
        <v>5.1549230769230757E-2</v>
      </c>
      <c r="M50" s="1">
        <f t="shared" si="0"/>
        <v>0.1353980769230769</v>
      </c>
      <c r="N50" s="1">
        <f t="shared" si="0"/>
        <v>0.33050000000000002</v>
      </c>
      <c r="O50" s="1">
        <f t="shared" si="0"/>
        <v>0.20235230769230766</v>
      </c>
      <c r="P50" s="1">
        <f t="shared" si="0"/>
        <v>1.1469230769230766E-3</v>
      </c>
      <c r="Q50" s="1">
        <f t="shared" si="0"/>
        <v>0.1120276923076923</v>
      </c>
      <c r="R50" s="1">
        <f t="shared" si="0"/>
        <v>9.5999999999999992E-4</v>
      </c>
      <c r="S50" s="1">
        <f t="shared" si="0"/>
        <v>0.10823769230769228</v>
      </c>
      <c r="T50" s="1">
        <f t="shared" si="0"/>
        <v>4.9753846153846159E-4</v>
      </c>
      <c r="U50" s="1">
        <f t="shared" si="0"/>
        <v>7.9369230769230747E-2</v>
      </c>
    </row>
  </sheetData>
  <mergeCells count="8">
    <mergeCell ref="A42:A49"/>
    <mergeCell ref="A50:B50"/>
    <mergeCell ref="A1:B2"/>
    <mergeCell ref="A3:B3"/>
    <mergeCell ref="A4:B4"/>
    <mergeCell ref="A5:A21"/>
    <mergeCell ref="A22:A35"/>
    <mergeCell ref="A36:A4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9E26-5527-43F5-BF9E-86C1C60FA61B}">
  <dimension ref="A1:U50"/>
  <sheetViews>
    <sheetView tabSelected="1" workbookViewId="0">
      <selection activeCell="X52" sqref="X52"/>
    </sheetView>
  </sheetViews>
  <sheetFormatPr defaultRowHeight="14" x14ac:dyDescent="0.3"/>
  <cols>
    <col min="1" max="1" width="16.08203125" customWidth="1"/>
    <col min="2" max="2" width="23.33203125" customWidth="1"/>
  </cols>
  <sheetData>
    <row r="1" spans="1:21" x14ac:dyDescent="0.3">
      <c r="A1" s="7" t="s">
        <v>53</v>
      </c>
      <c r="B1" s="7"/>
    </row>
    <row r="2" spans="1:21" x14ac:dyDescent="0.3">
      <c r="A2" s="7"/>
      <c r="B2" s="7"/>
    </row>
    <row r="3" spans="1:21" x14ac:dyDescent="0.3">
      <c r="A3" s="8" t="s">
        <v>1</v>
      </c>
      <c r="B3" s="8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1:21" x14ac:dyDescent="0.3">
      <c r="A4" s="9" t="s">
        <v>2</v>
      </c>
      <c r="B4" s="8"/>
      <c r="C4" s="1">
        <v>46</v>
      </c>
      <c r="D4" s="1">
        <v>48</v>
      </c>
      <c r="E4" s="1">
        <v>42</v>
      </c>
      <c r="F4" s="1">
        <v>46</v>
      </c>
      <c r="G4" s="1">
        <v>47</v>
      </c>
      <c r="H4" s="1">
        <v>45</v>
      </c>
      <c r="I4" s="1">
        <v>47</v>
      </c>
      <c r="J4" s="1">
        <v>52</v>
      </c>
      <c r="K4" s="1">
        <v>44</v>
      </c>
      <c r="L4" s="1">
        <v>51</v>
      </c>
      <c r="M4" s="1">
        <v>50</v>
      </c>
      <c r="N4" s="1">
        <v>52</v>
      </c>
      <c r="O4" s="1">
        <v>51</v>
      </c>
      <c r="P4" s="1">
        <v>14</v>
      </c>
      <c r="Q4" s="1">
        <v>46</v>
      </c>
      <c r="R4" s="1">
        <v>52</v>
      </c>
      <c r="S4" s="1">
        <v>51</v>
      </c>
      <c r="T4" s="1">
        <v>44</v>
      </c>
      <c r="U4" s="1">
        <v>55</v>
      </c>
    </row>
    <row r="5" spans="1:21" x14ac:dyDescent="0.3">
      <c r="A5" s="6" t="s">
        <v>3</v>
      </c>
      <c r="B5" s="2" t="s">
        <v>4</v>
      </c>
      <c r="C5" s="1">
        <v>9.2221986352848409E-2</v>
      </c>
      <c r="D5" s="1">
        <v>0.34657359027997264</v>
      </c>
      <c r="E5" s="1">
        <v>0</v>
      </c>
      <c r="F5" s="1">
        <v>0</v>
      </c>
      <c r="G5" s="1">
        <v>0</v>
      </c>
      <c r="H5" s="1">
        <v>0.12531140530851856</v>
      </c>
      <c r="I5" s="1">
        <v>0.21237800307558297</v>
      </c>
      <c r="J5" s="1">
        <v>0.36477864056412496</v>
      </c>
      <c r="K5" s="1">
        <v>0.32188758248682009</v>
      </c>
      <c r="L5" s="1">
        <v>0.36620409622270322</v>
      </c>
      <c r="M5" s="1">
        <v>0.12531140530851856</v>
      </c>
      <c r="N5" s="1">
        <v>0.33423942150583869</v>
      </c>
      <c r="O5" s="1">
        <v>0.24413606414846883</v>
      </c>
      <c r="P5" s="1">
        <v>0.36651629274966202</v>
      </c>
      <c r="Q5" s="1">
        <v>0.25993019270997947</v>
      </c>
      <c r="R5" s="1">
        <v>0.36119184129778081</v>
      </c>
      <c r="S5" s="1">
        <v>0.33423942150583869</v>
      </c>
      <c r="T5" s="1">
        <v>0.3300953659172462</v>
      </c>
      <c r="U5" s="1">
        <v>0</v>
      </c>
    </row>
    <row r="6" spans="1:21" x14ac:dyDescent="0.3">
      <c r="A6" s="6"/>
      <c r="B6" s="2" t="s">
        <v>5</v>
      </c>
      <c r="C6" s="1">
        <v>9.2221986352848409E-2</v>
      </c>
      <c r="D6" s="1">
        <v>0.36781096987939732</v>
      </c>
      <c r="E6" s="1">
        <v>0.24413606414846883</v>
      </c>
      <c r="F6" s="1">
        <v>0.30307895130213341</v>
      </c>
      <c r="G6" s="1">
        <v>0.29144631955236805</v>
      </c>
      <c r="H6" s="1">
        <v>0</v>
      </c>
      <c r="I6" s="1">
        <v>0.13632583547518043</v>
      </c>
      <c r="J6" s="1">
        <v>0.29862657820467581</v>
      </c>
      <c r="K6" s="1">
        <v>0.35246822399528521</v>
      </c>
      <c r="L6" s="1">
        <v>0.26865373607230197</v>
      </c>
      <c r="M6" s="1">
        <v>0.35685687149237616</v>
      </c>
      <c r="N6" s="1">
        <v>0.29862657820467581</v>
      </c>
      <c r="O6" s="1">
        <v>0.33423942150583869</v>
      </c>
      <c r="P6" s="1">
        <v>0</v>
      </c>
      <c r="Q6" s="1">
        <v>0.25993019270997947</v>
      </c>
      <c r="R6" s="1">
        <v>0.32188758248682009</v>
      </c>
      <c r="S6" s="1">
        <v>0.29862657820467581</v>
      </c>
      <c r="T6" s="1">
        <v>0.34657359027997264</v>
      </c>
      <c r="U6" s="1">
        <v>0</v>
      </c>
    </row>
    <row r="7" spans="1:21" x14ac:dyDescent="0.3">
      <c r="A7" s="6"/>
      <c r="B7" s="2" t="s">
        <v>6</v>
      </c>
      <c r="C7" s="1">
        <v>0</v>
      </c>
      <c r="D7" s="1">
        <v>0</v>
      </c>
      <c r="E7" s="1">
        <v>0</v>
      </c>
      <c r="F7" s="1">
        <v>0.11611364930987841</v>
      </c>
      <c r="G7" s="1">
        <v>0.15497047258770741</v>
      </c>
      <c r="H7" s="1">
        <v>0</v>
      </c>
      <c r="I7" s="1">
        <v>0</v>
      </c>
      <c r="J7" s="1">
        <v>0</v>
      </c>
      <c r="K7" s="1">
        <v>0.18053668007348067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0.18850409497251847</v>
      </c>
      <c r="U7" s="1">
        <v>0</v>
      </c>
    </row>
    <row r="8" spans="1:21" x14ac:dyDescent="0.3">
      <c r="A8" s="6"/>
      <c r="B8" s="2" t="s">
        <v>7</v>
      </c>
      <c r="C8" s="1">
        <v>0</v>
      </c>
      <c r="D8" s="1">
        <v>0.31387058129468842</v>
      </c>
      <c r="E8" s="1">
        <v>0.24413606414846883</v>
      </c>
      <c r="F8" s="1">
        <v>0</v>
      </c>
      <c r="G8" s="1">
        <v>0</v>
      </c>
      <c r="H8" s="1">
        <v>0</v>
      </c>
      <c r="I8" s="1">
        <v>0.13632583547518043</v>
      </c>
      <c r="J8" s="1">
        <v>0</v>
      </c>
      <c r="K8" s="1">
        <v>0</v>
      </c>
      <c r="L8" s="1">
        <v>0.32188758248682009</v>
      </c>
      <c r="M8" s="1">
        <v>0</v>
      </c>
      <c r="N8" s="1">
        <v>0</v>
      </c>
      <c r="O8" s="1">
        <v>0.24413606414846883</v>
      </c>
      <c r="P8" s="1">
        <v>0</v>
      </c>
      <c r="Q8" s="1">
        <v>0</v>
      </c>
      <c r="R8" s="1">
        <v>0.32188758248682009</v>
      </c>
      <c r="S8" s="1">
        <v>0.16057620877200915</v>
      </c>
      <c r="T8" s="1">
        <v>0</v>
      </c>
      <c r="U8" s="1">
        <v>0</v>
      </c>
    </row>
    <row r="9" spans="1:21" x14ac:dyDescent="0.3">
      <c r="A9" s="6"/>
      <c r="B9" s="2" t="s">
        <v>8</v>
      </c>
      <c r="C9" s="1">
        <v>0</v>
      </c>
      <c r="D9" s="1">
        <v>0</v>
      </c>
      <c r="E9" s="1">
        <v>0</v>
      </c>
      <c r="F9" s="1">
        <v>0</v>
      </c>
      <c r="G9" s="1">
        <v>0.15497047258770741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0.12531140530851856</v>
      </c>
      <c r="N9" s="1">
        <v>0</v>
      </c>
      <c r="O9" s="1">
        <v>0</v>
      </c>
      <c r="P9" s="1">
        <v>0</v>
      </c>
      <c r="Q9" s="1">
        <v>0</v>
      </c>
      <c r="R9" s="1">
        <v>0.23025850929940456</v>
      </c>
      <c r="S9" s="1">
        <v>0</v>
      </c>
      <c r="T9" s="1">
        <v>0</v>
      </c>
      <c r="U9" s="1">
        <v>0</v>
      </c>
    </row>
    <row r="10" spans="1:21" x14ac:dyDescent="0.3">
      <c r="A10" s="6"/>
      <c r="B10" s="2" t="s">
        <v>9</v>
      </c>
      <c r="C10" s="1">
        <v>9.2221986352848409E-2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A11" s="6"/>
      <c r="B11" s="2" t="s">
        <v>10</v>
      </c>
      <c r="C11" s="1">
        <v>0</v>
      </c>
      <c r="D11" s="1">
        <v>0</v>
      </c>
      <c r="E11" s="1">
        <v>0.36620409622270322</v>
      </c>
      <c r="F11" s="1">
        <v>0</v>
      </c>
      <c r="G11" s="1">
        <v>0</v>
      </c>
      <c r="H11" s="1">
        <v>0.12531140530851856</v>
      </c>
      <c r="I11" s="1">
        <v>0.26568025138187479</v>
      </c>
      <c r="J11" s="1">
        <v>0</v>
      </c>
      <c r="K11" s="1">
        <v>0</v>
      </c>
      <c r="L11" s="1">
        <v>0.26865373607230197</v>
      </c>
      <c r="M11" s="1">
        <v>0</v>
      </c>
      <c r="N11" s="1">
        <v>0.16057620877200915</v>
      </c>
      <c r="O11" s="1">
        <v>0</v>
      </c>
      <c r="P11" s="1">
        <v>0</v>
      </c>
      <c r="Q11" s="1">
        <v>0.17328679513998632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">
      <c r="A12" s="6"/>
      <c r="B12" s="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0.15497047258770741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0.16057620877200915</v>
      </c>
      <c r="O12" s="1">
        <v>0</v>
      </c>
      <c r="P12" s="1">
        <v>0.32188758248682009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">
      <c r="A13" s="6"/>
      <c r="B13" s="2" t="s">
        <v>12</v>
      </c>
      <c r="C13" s="1">
        <v>0</v>
      </c>
      <c r="D13" s="1">
        <v>0</v>
      </c>
      <c r="E13" s="1">
        <v>0.24413606414846883</v>
      </c>
      <c r="F13" s="1">
        <v>0</v>
      </c>
      <c r="G13" s="1">
        <v>0</v>
      </c>
      <c r="H13" s="1">
        <v>0</v>
      </c>
      <c r="I13" s="1">
        <v>0.13632583547518043</v>
      </c>
      <c r="J13" s="1">
        <v>0</v>
      </c>
      <c r="K13" s="1">
        <v>0.18053668007348067</v>
      </c>
      <c r="L13" s="1">
        <v>0.26865373607230197</v>
      </c>
      <c r="M13" s="1">
        <v>0.19730379672781054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">
      <c r="A14" s="6"/>
      <c r="B14" s="2" t="s">
        <v>13</v>
      </c>
      <c r="C14" s="1">
        <v>0</v>
      </c>
      <c r="D14" s="1">
        <v>0</v>
      </c>
      <c r="E14" s="1">
        <v>0</v>
      </c>
      <c r="F14" s="1">
        <v>0</v>
      </c>
      <c r="G14" s="1">
        <v>0.15497047258770741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">
      <c r="A15" s="6"/>
      <c r="B15" s="2" t="s">
        <v>14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0.20707555414900003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0.18850409497251847</v>
      </c>
      <c r="U15" s="1">
        <v>0</v>
      </c>
    </row>
    <row r="16" spans="1:21" x14ac:dyDescent="0.3">
      <c r="A16" s="6"/>
      <c r="B16" s="2" t="s">
        <v>15</v>
      </c>
      <c r="C16" s="1">
        <v>0</v>
      </c>
      <c r="D16" s="1">
        <v>0</v>
      </c>
      <c r="E16" s="1">
        <v>0</v>
      </c>
      <c r="F16" s="1">
        <v>0.30307895130213341</v>
      </c>
      <c r="G16" s="1">
        <v>0.15497047258770741</v>
      </c>
      <c r="H16" s="1">
        <v>0</v>
      </c>
      <c r="I16" s="1">
        <v>0</v>
      </c>
      <c r="J16" s="1">
        <v>0</v>
      </c>
      <c r="K16" s="1">
        <v>0.18053668007348067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0.23025850929940456</v>
      </c>
      <c r="S16" s="1">
        <v>0</v>
      </c>
      <c r="T16" s="1">
        <v>0</v>
      </c>
      <c r="U16" s="1">
        <v>0.29862657820467581</v>
      </c>
    </row>
    <row r="17" spans="1:21" x14ac:dyDescent="0.3">
      <c r="A17" s="6"/>
      <c r="B17" s="2" t="s">
        <v>16</v>
      </c>
      <c r="C17" s="1">
        <v>0</v>
      </c>
      <c r="D17" s="1">
        <v>0</v>
      </c>
      <c r="E17" s="1">
        <v>0.24413606414846883</v>
      </c>
      <c r="F17" s="1">
        <v>0.11611364930987841</v>
      </c>
      <c r="G17" s="1">
        <v>0</v>
      </c>
      <c r="H17" s="1">
        <v>0</v>
      </c>
      <c r="I17" s="1">
        <v>0</v>
      </c>
      <c r="J17" s="1">
        <v>0</v>
      </c>
      <c r="K17" s="1">
        <v>0.18053668007348067</v>
      </c>
      <c r="L17" s="1">
        <v>0</v>
      </c>
      <c r="M17" s="1">
        <v>0.24917125954077371</v>
      </c>
      <c r="N17" s="1">
        <v>0</v>
      </c>
      <c r="O17" s="1">
        <v>0</v>
      </c>
      <c r="P17" s="1">
        <v>0</v>
      </c>
      <c r="Q17" s="1">
        <v>0.17328679513998632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s="6"/>
      <c r="B18" s="2" t="s">
        <v>17</v>
      </c>
      <c r="C18" s="1">
        <v>0</v>
      </c>
      <c r="D18" s="1">
        <v>0.17328679513998632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s="6"/>
      <c r="B19" s="2" t="s">
        <v>18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0.12531140530851856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">
      <c r="A20" s="6"/>
      <c r="B20" s="2" t="s">
        <v>19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0.24413606414846883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">
      <c r="A21" s="6"/>
      <c r="B21" s="2" t="s">
        <v>20</v>
      </c>
      <c r="C21" s="1">
        <v>0</v>
      </c>
      <c r="D21" s="1">
        <v>0</v>
      </c>
      <c r="E21" s="1">
        <v>0.24413606414846883</v>
      </c>
      <c r="F21" s="1">
        <v>0</v>
      </c>
      <c r="G21" s="1">
        <v>0.15497047258770741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">
      <c r="A22" s="6" t="s">
        <v>21</v>
      </c>
      <c r="B22" s="2" t="s">
        <v>22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0.12531140530851856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">
      <c r="A23" s="6"/>
      <c r="B23" s="2" t="s">
        <v>23</v>
      </c>
      <c r="C23" s="1">
        <v>9.2221986352848409E-2</v>
      </c>
      <c r="D23" s="1">
        <v>0.17328679513998632</v>
      </c>
      <c r="E23" s="1">
        <v>0</v>
      </c>
      <c r="F23" s="1">
        <v>0.11611364930987841</v>
      </c>
      <c r="G23" s="1">
        <v>0.15497047258770741</v>
      </c>
      <c r="H23" s="1">
        <v>0.35328095087550693</v>
      </c>
      <c r="I23" s="1">
        <v>0</v>
      </c>
      <c r="J23" s="1">
        <v>0</v>
      </c>
      <c r="K23" s="1">
        <v>0.26865373607230197</v>
      </c>
      <c r="L23" s="1">
        <v>0</v>
      </c>
      <c r="M23" s="1">
        <v>0</v>
      </c>
      <c r="N23" s="1">
        <v>0.24413606414846883</v>
      </c>
      <c r="O23" s="1">
        <v>0</v>
      </c>
      <c r="P23" s="1">
        <v>0.36651629274966202</v>
      </c>
      <c r="Q23" s="1">
        <v>0</v>
      </c>
      <c r="R23" s="1">
        <v>0</v>
      </c>
      <c r="S23" s="1">
        <v>0.16057620877200915</v>
      </c>
      <c r="T23" s="1">
        <v>0</v>
      </c>
      <c r="U23" s="1">
        <v>0</v>
      </c>
    </row>
    <row r="24" spans="1:21" x14ac:dyDescent="0.3">
      <c r="A24" s="6"/>
      <c r="B24" s="2" t="s">
        <v>24</v>
      </c>
      <c r="C24" s="1">
        <v>9.2221986352848409E-2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3">
      <c r="A25" s="6"/>
      <c r="B25" s="2" t="s">
        <v>25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0.17328679513998632</v>
      </c>
      <c r="R25" s="1">
        <v>0.23025850929940456</v>
      </c>
      <c r="S25" s="1">
        <v>0</v>
      </c>
      <c r="T25" s="1">
        <v>0</v>
      </c>
      <c r="U25" s="1">
        <v>0</v>
      </c>
    </row>
    <row r="26" spans="1:21" x14ac:dyDescent="0.3">
      <c r="A26" s="6"/>
      <c r="B26" s="2" t="s">
        <v>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0.17328679513998632</v>
      </c>
      <c r="R26" s="1">
        <v>0</v>
      </c>
      <c r="S26" s="1">
        <v>0</v>
      </c>
      <c r="T26" s="1">
        <v>0</v>
      </c>
      <c r="U26" s="1">
        <v>0.29862657820467581</v>
      </c>
    </row>
    <row r="27" spans="1:21" x14ac:dyDescent="0.3">
      <c r="A27" s="6"/>
      <c r="B27" s="2" t="s">
        <v>27</v>
      </c>
      <c r="C27" s="1">
        <v>0</v>
      </c>
      <c r="D27" s="1">
        <v>0.17328679513998632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">
      <c r="A28" s="6"/>
      <c r="B28" s="2" t="s">
        <v>28</v>
      </c>
      <c r="C28" s="1">
        <v>0</v>
      </c>
      <c r="D28" s="1">
        <v>0</v>
      </c>
      <c r="E28" s="1">
        <v>0</v>
      </c>
      <c r="F28" s="1">
        <v>0</v>
      </c>
      <c r="G28" s="1">
        <v>0.15497047258770741</v>
      </c>
      <c r="H28" s="1">
        <v>0.24917125954077371</v>
      </c>
      <c r="I28" s="1">
        <v>0</v>
      </c>
      <c r="J28" s="1">
        <v>0</v>
      </c>
      <c r="K28" s="1">
        <v>0</v>
      </c>
      <c r="L28" s="1">
        <v>0</v>
      </c>
      <c r="M28" s="1">
        <v>0.12531140530851856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0.27798716415075903</v>
      </c>
      <c r="U28" s="1">
        <v>0</v>
      </c>
    </row>
    <row r="29" spans="1:21" x14ac:dyDescent="0.3">
      <c r="A29" s="6"/>
      <c r="B29" s="2" t="s">
        <v>29</v>
      </c>
      <c r="C29" s="1">
        <v>0</v>
      </c>
      <c r="D29" s="1">
        <v>0</v>
      </c>
      <c r="E29" s="1">
        <v>0</v>
      </c>
      <c r="F29" s="1">
        <v>0.11611364930987841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">
      <c r="A30" s="6"/>
      <c r="B30" s="2" t="s">
        <v>30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0.12531140530851856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s="6"/>
      <c r="B31" s="2" t="s">
        <v>31</v>
      </c>
      <c r="C31" s="1">
        <v>9.2221986352848409E-2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0.17328679513998632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">
      <c r="A32" s="6"/>
      <c r="B32" s="2" t="s">
        <v>32</v>
      </c>
      <c r="C32" s="1">
        <v>0</v>
      </c>
      <c r="D32" s="1">
        <v>0</v>
      </c>
      <c r="E32" s="1">
        <v>0</v>
      </c>
      <c r="F32" s="1">
        <v>0.11611364930987841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">
      <c r="A33" s="6"/>
      <c r="B33" s="2" t="s">
        <v>33</v>
      </c>
      <c r="C33" s="1">
        <v>0</v>
      </c>
      <c r="D33" s="1">
        <v>0</v>
      </c>
      <c r="E33" s="1">
        <v>0</v>
      </c>
      <c r="F33" s="1">
        <v>0.18442404478803645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">
      <c r="A34" s="6"/>
      <c r="B34" s="2" t="s">
        <v>34</v>
      </c>
      <c r="C34" s="1">
        <v>0</v>
      </c>
      <c r="D34" s="1">
        <v>0</v>
      </c>
      <c r="E34" s="1">
        <v>0</v>
      </c>
      <c r="F34" s="1">
        <v>0.23469140082603768</v>
      </c>
      <c r="G34" s="1">
        <v>0.2369780840638416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0.24413606414846883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s="6"/>
      <c r="B35" s="2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0.15497047258770741</v>
      </c>
      <c r="H35" s="1">
        <v>0.12531140530851856</v>
      </c>
      <c r="I35" s="1">
        <v>0.13632583547518043</v>
      </c>
      <c r="J35" s="1">
        <v>0</v>
      </c>
      <c r="K35" s="1">
        <v>0</v>
      </c>
      <c r="L35" s="1">
        <v>0.18053668007348067</v>
      </c>
      <c r="M35" s="1">
        <v>0</v>
      </c>
      <c r="N35" s="1">
        <v>0.35581495707279565</v>
      </c>
      <c r="O35" s="1">
        <v>0</v>
      </c>
      <c r="P35" s="1">
        <v>0</v>
      </c>
      <c r="Q35" s="1">
        <v>0.17328679513998632</v>
      </c>
      <c r="R35" s="1">
        <v>0</v>
      </c>
      <c r="S35" s="1">
        <v>0</v>
      </c>
      <c r="T35" s="1">
        <v>0</v>
      </c>
      <c r="U35" s="1">
        <v>0.29862657820467581</v>
      </c>
    </row>
    <row r="36" spans="1:21" x14ac:dyDescent="0.3">
      <c r="A36" s="3" t="s">
        <v>36</v>
      </c>
      <c r="B36" s="2" t="s">
        <v>37</v>
      </c>
      <c r="C36" s="1">
        <v>9.2221986352848409E-2</v>
      </c>
      <c r="D36" s="1">
        <v>0</v>
      </c>
      <c r="E36" s="1">
        <v>0</v>
      </c>
      <c r="F36" s="1">
        <v>0</v>
      </c>
      <c r="G36" s="1">
        <v>0.15497047258770741</v>
      </c>
      <c r="H36" s="1">
        <v>0.12531140530851856</v>
      </c>
      <c r="I36" s="1">
        <v>0.13632583547518043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A37" s="4"/>
      <c r="B37" s="2" t="s">
        <v>38</v>
      </c>
      <c r="C37" s="1">
        <v>9.2221986352848409E-2</v>
      </c>
      <c r="D37" s="1">
        <v>0</v>
      </c>
      <c r="E37" s="1">
        <v>0</v>
      </c>
      <c r="F37" s="1">
        <v>0</v>
      </c>
      <c r="G37" s="1">
        <v>0.15497047258770741</v>
      </c>
      <c r="H37" s="1">
        <v>0</v>
      </c>
      <c r="I37" s="1">
        <v>0</v>
      </c>
      <c r="J37" s="1">
        <v>0</v>
      </c>
      <c r="K37" s="1">
        <v>0.18053668007348067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A38" s="4"/>
      <c r="B38" s="2" t="s">
        <v>39</v>
      </c>
      <c r="C38" s="1">
        <v>9.2221986352848409E-2</v>
      </c>
      <c r="D38" s="1">
        <v>0</v>
      </c>
      <c r="E38" s="1">
        <v>0.24413606414846883</v>
      </c>
      <c r="F38" s="1">
        <v>0</v>
      </c>
      <c r="G38" s="1">
        <v>0</v>
      </c>
      <c r="H38" s="1">
        <v>0</v>
      </c>
      <c r="I38" s="1">
        <v>0.13632583547518043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s="4"/>
      <c r="B39" s="2" t="s">
        <v>40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0.25993019270997947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A40" s="4"/>
      <c r="B40" s="2" t="s">
        <v>41</v>
      </c>
      <c r="C40" s="1">
        <v>0</v>
      </c>
      <c r="D40" s="1">
        <v>0</v>
      </c>
      <c r="E40" s="1">
        <v>0</v>
      </c>
      <c r="F40" s="1">
        <v>0</v>
      </c>
      <c r="G40" s="1">
        <v>0.15497047258770741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A41" s="4"/>
      <c r="B41" s="2" t="s">
        <v>42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0.17328679513998632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s="3" t="s">
        <v>43</v>
      </c>
      <c r="B42" s="2" t="s">
        <v>44</v>
      </c>
      <c r="C42" s="1">
        <v>9.2221986352848409E-2</v>
      </c>
      <c r="D42" s="1">
        <v>0</v>
      </c>
      <c r="E42" s="1">
        <v>0</v>
      </c>
      <c r="F42" s="1">
        <v>0</v>
      </c>
      <c r="G42" s="1">
        <v>0</v>
      </c>
      <c r="H42" s="1">
        <v>0.12531140530851856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0.24413606414846883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A43" s="4"/>
      <c r="B43" s="2" t="s">
        <v>45</v>
      </c>
      <c r="C43" s="1">
        <v>0.19427003740843699</v>
      </c>
      <c r="D43" s="1">
        <v>0</v>
      </c>
      <c r="E43" s="1">
        <v>0</v>
      </c>
      <c r="F43" s="1">
        <v>0</v>
      </c>
      <c r="G43" s="1">
        <v>0</v>
      </c>
      <c r="H43" s="1">
        <v>0.24917125954077371</v>
      </c>
      <c r="I43" s="1">
        <v>0.21237800307558297</v>
      </c>
      <c r="J43" s="1">
        <v>0</v>
      </c>
      <c r="K43" s="1">
        <v>0</v>
      </c>
      <c r="L43" s="1">
        <v>0</v>
      </c>
      <c r="M43" s="1">
        <v>0</v>
      </c>
      <c r="N43" s="1">
        <v>0.16057620877200915</v>
      </c>
      <c r="O43" s="1">
        <v>0.24413606414846883</v>
      </c>
      <c r="P43" s="1">
        <v>0</v>
      </c>
      <c r="Q43" s="1">
        <v>0</v>
      </c>
      <c r="R43" s="1">
        <v>0</v>
      </c>
      <c r="S43" s="1">
        <v>0.16057620877200915</v>
      </c>
      <c r="T43" s="1">
        <v>0</v>
      </c>
      <c r="U43" s="1">
        <v>0</v>
      </c>
    </row>
    <row r="44" spans="1:21" x14ac:dyDescent="0.3">
      <c r="A44" s="4"/>
      <c r="B44" s="2" t="s">
        <v>46</v>
      </c>
      <c r="C44" s="1">
        <v>0.14978661367769955</v>
      </c>
      <c r="D44" s="1">
        <v>0</v>
      </c>
      <c r="E44" s="1">
        <v>0</v>
      </c>
      <c r="F44" s="1">
        <v>0</v>
      </c>
      <c r="G44" s="1">
        <v>0</v>
      </c>
      <c r="H44" s="1">
        <v>0.12531140530851856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A45" s="4"/>
      <c r="B45" s="2" t="s">
        <v>47</v>
      </c>
      <c r="C45" s="1">
        <v>0.14978661367769955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A46" s="4"/>
      <c r="B46" s="2" t="s">
        <v>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0.12531140530851856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A47" s="4"/>
      <c r="B47" s="2" t="s">
        <v>49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0.12531140530851856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A48" s="4"/>
      <c r="B48" s="2" t="s">
        <v>50</v>
      </c>
      <c r="C48" s="1">
        <v>0</v>
      </c>
      <c r="D48" s="1">
        <v>0</v>
      </c>
      <c r="E48" s="1">
        <v>0</v>
      </c>
      <c r="F48" s="1">
        <v>0.11611364930987841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0.12531140530851856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A49" s="5"/>
      <c r="B49" s="2" t="s">
        <v>51</v>
      </c>
      <c r="C49" s="1">
        <v>0.31819651195625231</v>
      </c>
      <c r="D49" s="1">
        <v>0</v>
      </c>
      <c r="E49" s="1">
        <v>0</v>
      </c>
      <c r="F49" s="1">
        <v>0.35527014849838295</v>
      </c>
      <c r="G49" s="1">
        <v>0.2369780840638416</v>
      </c>
      <c r="H49" s="1">
        <v>0.28796956567716792</v>
      </c>
      <c r="I49" s="1">
        <v>0.36213440127613217</v>
      </c>
      <c r="J49" s="1">
        <v>0.36620409622270322</v>
      </c>
      <c r="K49" s="1">
        <v>0.18053668007348067</v>
      </c>
      <c r="L49" s="1">
        <v>0</v>
      </c>
      <c r="M49" s="1">
        <v>0.24917125954077371</v>
      </c>
      <c r="N49" s="1">
        <v>0.16057620877200915</v>
      </c>
      <c r="O49" s="1">
        <v>0.24413606414846883</v>
      </c>
      <c r="P49" s="1">
        <v>0</v>
      </c>
      <c r="Q49" s="1">
        <v>0.31387058129468842</v>
      </c>
      <c r="R49" s="1">
        <v>0</v>
      </c>
      <c r="S49" s="1">
        <v>0.36041342942947946</v>
      </c>
      <c r="T49" s="1">
        <v>0</v>
      </c>
      <c r="U49" s="1">
        <v>0.34657359027997264</v>
      </c>
    </row>
    <row r="50" spans="1:21" x14ac:dyDescent="0.3">
      <c r="A50" s="6" t="s">
        <v>52</v>
      </c>
      <c r="B50" s="6"/>
      <c r="C50" s="1">
        <f t="shared" ref="C50:U50" si="0">SUM(C5:C49)</f>
        <v>1.7342596402485726</v>
      </c>
      <c r="D50" s="1">
        <f t="shared" si="0"/>
        <v>1.5481155268740174</v>
      </c>
      <c r="E50" s="1">
        <f t="shared" si="0"/>
        <v>1.8310204811135165</v>
      </c>
      <c r="F50" s="1">
        <f t="shared" si="0"/>
        <v>2.0772253925759947</v>
      </c>
      <c r="G50" s="1">
        <f t="shared" si="0"/>
        <v>2.6250481587325405</v>
      </c>
      <c r="H50" s="1">
        <f t="shared" si="0"/>
        <v>2.2673956834108888</v>
      </c>
      <c r="I50" s="1">
        <f t="shared" si="0"/>
        <v>1.8705256716602552</v>
      </c>
      <c r="J50" s="1">
        <f t="shared" si="0"/>
        <v>1.2366848691405039</v>
      </c>
      <c r="K50" s="1">
        <f t="shared" si="0"/>
        <v>2.0262296229952916</v>
      </c>
      <c r="L50" s="1">
        <f t="shared" si="0"/>
        <v>1.67458956699991</v>
      </c>
      <c r="M50" s="1">
        <f t="shared" si="0"/>
        <v>1.8043716191528452</v>
      </c>
      <c r="N50" s="1">
        <f t="shared" si="0"/>
        <v>1.8751218560198155</v>
      </c>
      <c r="O50" s="1">
        <f t="shared" si="0"/>
        <v>2.0431918705451206</v>
      </c>
      <c r="P50" s="1">
        <f t="shared" si="0"/>
        <v>1.0549201679861442</v>
      </c>
      <c r="Q50" s="1">
        <f t="shared" si="0"/>
        <v>2.3066687254045313</v>
      </c>
      <c r="R50" s="1">
        <f t="shared" si="0"/>
        <v>1.6957425341696346</v>
      </c>
      <c r="S50" s="1">
        <f t="shared" si="0"/>
        <v>1.4750080554560214</v>
      </c>
      <c r="T50" s="1">
        <f t="shared" si="0"/>
        <v>1.3316643102930148</v>
      </c>
      <c r="U50" s="1">
        <f t="shared" si="0"/>
        <v>1.2424533248940002</v>
      </c>
    </row>
  </sheetData>
  <mergeCells count="8">
    <mergeCell ref="A42:A49"/>
    <mergeCell ref="A50:B50"/>
    <mergeCell ref="A1:B2"/>
    <mergeCell ref="A3:B3"/>
    <mergeCell ref="A4:B4"/>
    <mergeCell ref="A5:A21"/>
    <mergeCell ref="A22:A35"/>
    <mergeCell ref="A36:A4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赣江浮游动物计数</vt:lpstr>
      <vt:lpstr>赣江浮游动物密度</vt:lpstr>
      <vt:lpstr>赣江浮游动物生物量</vt:lpstr>
      <vt:lpstr>赣江浮游动物多样性指数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Shan</dc:creator>
  <cp:lastModifiedBy>. Shan</cp:lastModifiedBy>
  <dcterms:created xsi:type="dcterms:W3CDTF">2025-08-05T09:53:20Z</dcterms:created>
  <dcterms:modified xsi:type="dcterms:W3CDTF">2025-09-18T09:52:36Z</dcterms:modified>
</cp:coreProperties>
</file>